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356ac8c7cbad2/DS/Clases/Portafolio/6. Pronostico/"/>
    </mc:Choice>
  </mc:AlternateContent>
  <xr:revisionPtr revIDLastSave="153" documentId="8_{0CBE8DA7-6319-41A2-952D-908E7F82F10C}" xr6:coauthVersionLast="47" xr6:coauthVersionMax="47" xr10:uidLastSave="{9FBBE8D4-9367-4CAA-98B0-FEC0C84A05EC}"/>
  <bookViews>
    <workbookView xWindow="-120" yWindow="-120" windowWidth="29040" windowHeight="15840" xr2:uid="{1E023417-3BDA-409D-82C6-F9160ECB55D5}"/>
  </bookViews>
  <sheets>
    <sheet name="demanda_limp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1" l="1"/>
  <c r="C135" i="1" s="1"/>
  <c r="C136" i="1" s="1"/>
  <c r="C137" i="1" s="1"/>
  <c r="C138" i="1" s="1"/>
  <c r="C139" i="1" s="1"/>
  <c r="C140" i="1" s="1"/>
  <c r="C141" i="1" s="1"/>
  <c r="C142" i="1" s="1"/>
  <c r="C143" i="1" s="1"/>
  <c r="C145" i="1" s="1"/>
  <c r="C126" i="1"/>
  <c r="C127" i="1" s="1"/>
  <c r="C128" i="1" s="1"/>
  <c r="C129" i="1" s="1"/>
  <c r="C130" i="1" s="1"/>
  <c r="C131" i="1" s="1"/>
  <c r="C132" i="1" s="1"/>
  <c r="C133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B3" i="1"/>
  <c r="B4" i="1" s="1"/>
  <c r="B5" i="1" s="1"/>
  <c r="B135" i="1"/>
  <c r="B136" i="1" s="1"/>
  <c r="B126" i="1"/>
  <c r="B127" i="1" s="1"/>
  <c r="B128" i="1" s="1"/>
  <c r="B129" i="1" s="1"/>
  <c r="B130" i="1" s="1"/>
  <c r="B131" i="1" s="1"/>
  <c r="B132" i="1" s="1"/>
  <c r="B133" i="1" s="1"/>
  <c r="C146" i="1" l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137" i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148" i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l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l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173" i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72" i="1"/>
  <c r="B64" i="1" l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185" i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84" i="1"/>
  <c r="B76" i="1" l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197" i="1"/>
  <c r="B198" i="1" s="1"/>
  <c r="B199" i="1" s="1"/>
  <c r="B200" i="1" s="1"/>
  <c r="B201" i="1" s="1"/>
  <c r="B202" i="1" s="1"/>
  <c r="B203" i="1" s="1"/>
  <c r="B196" i="1"/>
  <c r="B88" i="1" l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l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l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</calcChain>
</file>

<file path=xl/sharedStrings.xml><?xml version="1.0" encoding="utf-8"?>
<sst xmlns="http://schemas.openxmlformats.org/spreadsheetml/2006/main" count="208" uniqueCount="10">
  <si>
    <t>fecha</t>
  </si>
  <si>
    <t>demanda</t>
  </si>
  <si>
    <t>aforo_mensual</t>
  </si>
  <si>
    <t>anomalia</t>
  </si>
  <si>
    <t>mes</t>
  </si>
  <si>
    <t>estacion</t>
  </si>
  <si>
    <t>primavera</t>
  </si>
  <si>
    <t>invierno</t>
  </si>
  <si>
    <t>verano</t>
  </si>
  <si>
    <t>otoño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</si>
</sst>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BEEBD-8FF7-4A90-839C-BD33DAAFAB08}" name="Tabla1" displayName="Tabla1" ref="A1:F203" totalsRowShown="0">
  <autoFilter ref="A1:F203" xr:uid="{A6CBEEBD-8FF7-4A90-839C-BD33DAAFAB08}"/>
  <sortState xmlns:xlrd2="http://schemas.microsoft.com/office/spreadsheetml/2017/richdata2" ref="A2:F203">
    <sortCondition ref="A1:A203"/>
  </sortState>
  <tableColumns count="6">
    <tableColumn id="1" xr3:uid="{8B8D259F-6660-40AA-8ACA-285D92B84ADF}" name="fecha" dataDxfId="0"/>
    <tableColumn id="2" xr3:uid="{5F6456B4-92E2-42E5-96E6-46257976C364}" name="demanda"/>
    <tableColumn id="3" xr3:uid="{8DFABA40-B751-4DDE-8BF1-8E75FAC36ACE}" name="aforo_mensual"/>
    <tableColumn id="4" xr3:uid="{B1EAE0DF-E0E4-4429-86B3-353754D01F6A}" name="anomalia"/>
    <tableColumn id="5" xr3:uid="{9E2BF43D-EF03-4F71-AA2B-C2DDCB0CE383}" name="mes"/>
    <tableColumn id="6" xr3:uid="{0AC4E70A-2600-40B6-9C18-B42674EB0C39}" name="estac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1D68-42FE-4E4F-992C-980323AADDF9}">
  <dimension ref="A1:F203"/>
  <sheetViews>
    <sheetView tabSelected="1" zoomScale="180" zoomScaleNormal="180" workbookViewId="0">
      <selection activeCell="C145" sqref="C145"/>
    </sheetView>
  </sheetViews>
  <sheetFormatPr baseColWidth="10" defaultRowHeight="15" x14ac:dyDescent="0.25"/>
  <cols>
    <col min="3" max="3" width="1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40179</v>
      </c>
      <c r="B2">
        <v>35</v>
      </c>
      <c r="C2">
        <v>7</v>
      </c>
      <c r="D2">
        <v>0</v>
      </c>
      <c r="E2">
        <v>1</v>
      </c>
      <c r="F2" t="s">
        <v>6</v>
      </c>
    </row>
    <row r="3" spans="1:6" x14ac:dyDescent="0.25">
      <c r="A3" s="1">
        <v>40210</v>
      </c>
      <c r="B3">
        <f>B2*0.8</f>
        <v>28</v>
      </c>
      <c r="C3">
        <f>C2*0.8</f>
        <v>5.6000000000000005</v>
      </c>
      <c r="D3">
        <v>0</v>
      </c>
      <c r="E3">
        <v>2</v>
      </c>
      <c r="F3" t="s">
        <v>7</v>
      </c>
    </row>
    <row r="4" spans="1:6" x14ac:dyDescent="0.25">
      <c r="A4" s="1">
        <v>40238</v>
      </c>
      <c r="B4">
        <f>B3*1.1</f>
        <v>30.800000000000004</v>
      </c>
      <c r="C4">
        <f>C3*1.13</f>
        <v>6.3280000000000003</v>
      </c>
      <c r="D4">
        <v>0</v>
      </c>
      <c r="E4">
        <v>3</v>
      </c>
      <c r="F4" t="s">
        <v>7</v>
      </c>
    </row>
    <row r="5" spans="1:6" x14ac:dyDescent="0.25">
      <c r="A5" s="1">
        <v>40269</v>
      </c>
      <c r="B5">
        <f>B4*0.9</f>
        <v>27.720000000000006</v>
      </c>
      <c r="C5">
        <f>C4*0.9</f>
        <v>5.6952000000000007</v>
      </c>
      <c r="D5">
        <v>0</v>
      </c>
      <c r="E5">
        <v>4</v>
      </c>
      <c r="F5" t="s">
        <v>7</v>
      </c>
    </row>
    <row r="6" spans="1:6" x14ac:dyDescent="0.25">
      <c r="A6" s="1">
        <v>40299</v>
      </c>
      <c r="B6">
        <f>B5*1.5</f>
        <v>41.580000000000013</v>
      </c>
      <c r="C6">
        <f>C5*1.05</f>
        <v>5.9799600000000011</v>
      </c>
      <c r="D6">
        <v>0</v>
      </c>
      <c r="E6">
        <v>5</v>
      </c>
      <c r="F6" t="s">
        <v>9</v>
      </c>
    </row>
    <row r="7" spans="1:6" x14ac:dyDescent="0.25">
      <c r="A7" s="1">
        <v>40330</v>
      </c>
      <c r="B7">
        <f>B6*1.2</f>
        <v>49.896000000000015</v>
      </c>
      <c r="C7">
        <f>C6*1.1</f>
        <v>6.5779560000000012</v>
      </c>
      <c r="D7">
        <v>0</v>
      </c>
      <c r="E7">
        <v>6</v>
      </c>
      <c r="F7" t="s">
        <v>9</v>
      </c>
    </row>
    <row r="8" spans="1:6" x14ac:dyDescent="0.25">
      <c r="A8" s="1">
        <v>40360</v>
      </c>
      <c r="B8">
        <f>B7*0.8</f>
        <v>39.916800000000016</v>
      </c>
      <c r="C8">
        <f>C7*0.8</f>
        <v>5.2623648000000012</v>
      </c>
      <c r="D8">
        <v>0</v>
      </c>
      <c r="E8">
        <v>7</v>
      </c>
      <c r="F8" t="s">
        <v>9</v>
      </c>
    </row>
    <row r="9" spans="1:6" x14ac:dyDescent="0.25">
      <c r="A9" s="1">
        <v>40391</v>
      </c>
      <c r="B9">
        <f>B8*0.9</f>
        <v>35.925120000000014</v>
      </c>
      <c r="C9">
        <f>C8*0.9</f>
        <v>4.7361283200000015</v>
      </c>
      <c r="D9">
        <v>0</v>
      </c>
      <c r="E9">
        <v>8</v>
      </c>
      <c r="F9" t="s">
        <v>8</v>
      </c>
    </row>
    <row r="10" spans="1:6" x14ac:dyDescent="0.25">
      <c r="A10" s="1">
        <v>40422</v>
      </c>
      <c r="B10">
        <f>B9*1.1</f>
        <v>39.51763200000002</v>
      </c>
      <c r="C10">
        <f>C9*1.1</f>
        <v>5.2097411520000021</v>
      </c>
      <c r="D10">
        <v>0</v>
      </c>
      <c r="E10">
        <v>9</v>
      </c>
      <c r="F10" t="s">
        <v>8</v>
      </c>
    </row>
    <row r="11" spans="1:6" x14ac:dyDescent="0.25">
      <c r="A11" s="1">
        <v>40452</v>
      </c>
      <c r="B11">
        <f>B10*1.2</f>
        <v>47.421158400000024</v>
      </c>
      <c r="C11">
        <f>C10*1.15</f>
        <v>5.9912023248000024</v>
      </c>
      <c r="D11">
        <v>0</v>
      </c>
      <c r="E11">
        <v>10</v>
      </c>
      <c r="F11" t="s">
        <v>8</v>
      </c>
    </row>
    <row r="12" spans="1:6" x14ac:dyDescent="0.25">
      <c r="A12" s="1">
        <v>40483</v>
      </c>
      <c r="B12">
        <f>B11*1.2</f>
        <v>56.905390080000025</v>
      </c>
      <c r="C12">
        <f>C11*1.2</f>
        <v>7.1894427897600028</v>
      </c>
      <c r="D12">
        <v>0</v>
      </c>
      <c r="E12">
        <v>11</v>
      </c>
      <c r="F12" t="s">
        <v>6</v>
      </c>
    </row>
    <row r="13" spans="1:6" x14ac:dyDescent="0.25">
      <c r="A13" s="1">
        <v>40513</v>
      </c>
      <c r="B13">
        <f>B12*2</f>
        <v>113.81078016000005</v>
      </c>
      <c r="C13">
        <f>C12*1.7</f>
        <v>12.222052742592005</v>
      </c>
      <c r="D13">
        <v>0</v>
      </c>
      <c r="E13">
        <v>12</v>
      </c>
      <c r="F13" t="s">
        <v>6</v>
      </c>
    </row>
    <row r="14" spans="1:6" x14ac:dyDescent="0.25">
      <c r="A14" s="1">
        <v>40544</v>
      </c>
      <c r="B14">
        <f>B13*0.31</f>
        <v>35.281341849600018</v>
      </c>
      <c r="C14">
        <f>C13*0.6</f>
        <v>7.3332316455552027</v>
      </c>
      <c r="D14">
        <v>0</v>
      </c>
      <c r="E14">
        <v>1</v>
      </c>
      <c r="F14" t="s">
        <v>6</v>
      </c>
    </row>
    <row r="15" spans="1:6" x14ac:dyDescent="0.25">
      <c r="A15" s="1">
        <v>40575</v>
      </c>
      <c r="B15">
        <f>B14*0.8</f>
        <v>28.225073479680017</v>
      </c>
      <c r="C15">
        <f>C14*0.8</f>
        <v>5.8665853164441621</v>
      </c>
      <c r="D15">
        <v>0</v>
      </c>
      <c r="E15">
        <v>2</v>
      </c>
      <c r="F15" t="s">
        <v>7</v>
      </c>
    </row>
    <row r="16" spans="1:6" x14ac:dyDescent="0.25">
      <c r="A16" s="1">
        <v>40603</v>
      </c>
      <c r="B16">
        <f>B15*1.1</f>
        <v>31.047580827648019</v>
      </c>
      <c r="C16">
        <f>C15*1.13</f>
        <v>6.6292414075819028</v>
      </c>
      <c r="D16">
        <v>0</v>
      </c>
      <c r="E16">
        <v>3</v>
      </c>
      <c r="F16" t="s">
        <v>7</v>
      </c>
    </row>
    <row r="17" spans="1:6" x14ac:dyDescent="0.25">
      <c r="A17" s="1">
        <v>40634</v>
      </c>
      <c r="B17">
        <f>B16*0.9</f>
        <v>27.94282274488322</v>
      </c>
      <c r="C17">
        <f>C16*0.9</f>
        <v>5.9663172668237126</v>
      </c>
      <c r="D17">
        <v>0</v>
      </c>
      <c r="E17">
        <v>4</v>
      </c>
      <c r="F17" t="s">
        <v>7</v>
      </c>
    </row>
    <row r="18" spans="1:6" x14ac:dyDescent="0.25">
      <c r="A18" s="1">
        <v>40664</v>
      </c>
      <c r="B18">
        <f>B17*1.5</f>
        <v>41.914234117324831</v>
      </c>
      <c r="C18">
        <f>C17*1.05</f>
        <v>6.2646331301648983</v>
      </c>
      <c r="D18">
        <v>0</v>
      </c>
      <c r="E18">
        <v>5</v>
      </c>
      <c r="F18" t="s">
        <v>9</v>
      </c>
    </row>
    <row r="19" spans="1:6" x14ac:dyDescent="0.25">
      <c r="A19" s="1">
        <v>40695</v>
      </c>
      <c r="B19">
        <f>B18*1.2</f>
        <v>50.297080940789797</v>
      </c>
      <c r="C19">
        <f>C18*1.1</f>
        <v>6.8910964431813886</v>
      </c>
      <c r="D19">
        <v>0</v>
      </c>
      <c r="E19">
        <v>6</v>
      </c>
      <c r="F19" t="s">
        <v>9</v>
      </c>
    </row>
    <row r="20" spans="1:6" x14ac:dyDescent="0.25">
      <c r="A20" s="1">
        <v>40725</v>
      </c>
      <c r="B20">
        <f>B19*0.8</f>
        <v>40.237664752631844</v>
      </c>
      <c r="C20">
        <f>C19*0.8</f>
        <v>5.5128771545451114</v>
      </c>
      <c r="D20">
        <v>0</v>
      </c>
      <c r="E20">
        <v>7</v>
      </c>
      <c r="F20" t="s">
        <v>9</v>
      </c>
    </row>
    <row r="21" spans="1:6" x14ac:dyDescent="0.25">
      <c r="A21" s="1">
        <v>40756</v>
      </c>
      <c r="B21">
        <f>B20*0.9</f>
        <v>36.213898277368664</v>
      </c>
      <c r="C21">
        <f>C20*0.9</f>
        <v>4.9615894390906004</v>
      </c>
      <c r="D21">
        <v>0</v>
      </c>
      <c r="E21">
        <v>8</v>
      </c>
      <c r="F21" t="s">
        <v>8</v>
      </c>
    </row>
    <row r="22" spans="1:6" x14ac:dyDescent="0.25">
      <c r="A22" s="1">
        <v>40787</v>
      </c>
      <c r="B22">
        <f>B21*1.1</f>
        <v>39.835288105105533</v>
      </c>
      <c r="C22">
        <f>C21*1.1</f>
        <v>5.4577483829996609</v>
      </c>
      <c r="D22">
        <v>0</v>
      </c>
      <c r="E22">
        <v>9</v>
      </c>
      <c r="F22" t="s">
        <v>8</v>
      </c>
    </row>
    <row r="23" spans="1:6" x14ac:dyDescent="0.25">
      <c r="A23" s="1">
        <v>40817</v>
      </c>
      <c r="B23">
        <f>B22*1.2</f>
        <v>47.802345726126639</v>
      </c>
      <c r="C23">
        <f>C22*1.15</f>
        <v>6.2764106404496092</v>
      </c>
      <c r="D23">
        <v>0</v>
      </c>
      <c r="E23">
        <v>10</v>
      </c>
      <c r="F23" t="s">
        <v>8</v>
      </c>
    </row>
    <row r="24" spans="1:6" x14ac:dyDescent="0.25">
      <c r="A24" s="1">
        <v>40848</v>
      </c>
      <c r="B24">
        <f>B23*1.2</f>
        <v>57.362814871351965</v>
      </c>
      <c r="C24">
        <f>C23*1.2</f>
        <v>7.5316927685395303</v>
      </c>
      <c r="D24">
        <v>0</v>
      </c>
      <c r="E24">
        <v>11</v>
      </c>
      <c r="F24" t="s">
        <v>6</v>
      </c>
    </row>
    <row r="25" spans="1:6" x14ac:dyDescent="0.25">
      <c r="A25" s="1">
        <v>40878</v>
      </c>
      <c r="B25">
        <f>B24*2</f>
        <v>114.72562974270393</v>
      </c>
      <c r="C25">
        <f>C24*1.7</f>
        <v>12.803877706517202</v>
      </c>
      <c r="D25">
        <v>0</v>
      </c>
      <c r="E25">
        <v>12</v>
      </c>
      <c r="F25" t="s">
        <v>6</v>
      </c>
    </row>
    <row r="26" spans="1:6" x14ac:dyDescent="0.25">
      <c r="A26" s="1">
        <v>40909</v>
      </c>
      <c r="B26">
        <f>B25*0.31</f>
        <v>35.564945220238215</v>
      </c>
      <c r="C26">
        <f>C25*0.6</f>
        <v>7.6823266239103205</v>
      </c>
      <c r="D26">
        <v>0</v>
      </c>
      <c r="E26">
        <v>1</v>
      </c>
      <c r="F26" t="s">
        <v>6</v>
      </c>
    </row>
    <row r="27" spans="1:6" x14ac:dyDescent="0.25">
      <c r="A27" s="1">
        <v>40940</v>
      </c>
      <c r="B27">
        <f>B26*0.8</f>
        <v>28.451956176190574</v>
      </c>
      <c r="C27">
        <f>C26*0.8</f>
        <v>6.1458612991282564</v>
      </c>
      <c r="D27">
        <v>0</v>
      </c>
      <c r="E27">
        <v>2</v>
      </c>
      <c r="F27" t="s">
        <v>7</v>
      </c>
    </row>
    <row r="28" spans="1:6" x14ac:dyDescent="0.25">
      <c r="A28" s="1">
        <v>40969</v>
      </c>
      <c r="B28">
        <f>B27*1.1</f>
        <v>31.297151793809633</v>
      </c>
      <c r="C28">
        <f>C27*1.13</f>
        <v>6.9448232680149289</v>
      </c>
      <c r="D28">
        <v>0</v>
      </c>
      <c r="E28">
        <v>3</v>
      </c>
      <c r="F28" t="s">
        <v>7</v>
      </c>
    </row>
    <row r="29" spans="1:6" x14ac:dyDescent="0.25">
      <c r="A29" s="1">
        <v>41000</v>
      </c>
      <c r="B29">
        <f>B28*0.9</f>
        <v>28.16743661442867</v>
      </c>
      <c r="C29">
        <f>C28*0.9</f>
        <v>6.2503409412134365</v>
      </c>
      <c r="D29">
        <v>0</v>
      </c>
      <c r="E29">
        <v>4</v>
      </c>
      <c r="F29" t="s">
        <v>7</v>
      </c>
    </row>
    <row r="30" spans="1:6" x14ac:dyDescent="0.25">
      <c r="A30" s="1">
        <v>41030</v>
      </c>
      <c r="B30">
        <f>B29*1.5</f>
        <v>42.251154921643007</v>
      </c>
      <c r="C30">
        <f>C29*1.05</f>
        <v>6.5628579882741089</v>
      </c>
      <c r="D30">
        <v>0</v>
      </c>
      <c r="E30">
        <v>5</v>
      </c>
      <c r="F30" t="s">
        <v>9</v>
      </c>
    </row>
    <row r="31" spans="1:6" x14ac:dyDescent="0.25">
      <c r="A31" s="1">
        <v>41061</v>
      </c>
      <c r="B31">
        <f>B30*1.2</f>
        <v>50.701385905971605</v>
      </c>
      <c r="C31">
        <f>C30*1.1</f>
        <v>7.2191437871015207</v>
      </c>
      <c r="D31">
        <v>0</v>
      </c>
      <c r="E31">
        <v>6</v>
      </c>
      <c r="F31" t="s">
        <v>9</v>
      </c>
    </row>
    <row r="32" spans="1:6" x14ac:dyDescent="0.25">
      <c r="A32" s="1">
        <v>41091</v>
      </c>
      <c r="B32">
        <f>B31*0.8</f>
        <v>40.561108724777284</v>
      </c>
      <c r="C32">
        <f>C31*0.8</f>
        <v>5.7753150296812166</v>
      </c>
      <c r="D32">
        <v>0</v>
      </c>
      <c r="E32">
        <v>7</v>
      </c>
      <c r="F32" t="s">
        <v>9</v>
      </c>
    </row>
    <row r="33" spans="1:6" x14ac:dyDescent="0.25">
      <c r="A33" s="1">
        <v>41122</v>
      </c>
      <c r="B33">
        <f>B32*0.9</f>
        <v>36.50499785229956</v>
      </c>
      <c r="C33">
        <f>C32*0.9</f>
        <v>5.1977835267130947</v>
      </c>
      <c r="D33">
        <v>0</v>
      </c>
      <c r="E33">
        <v>8</v>
      </c>
      <c r="F33" t="s">
        <v>8</v>
      </c>
    </row>
    <row r="34" spans="1:6" x14ac:dyDescent="0.25">
      <c r="A34" s="1">
        <v>41153</v>
      </c>
      <c r="B34">
        <f>B33*1.1</f>
        <v>40.155497637529521</v>
      </c>
      <c r="C34">
        <f>C33*1.1</f>
        <v>5.7175618793844043</v>
      </c>
      <c r="D34">
        <v>0</v>
      </c>
      <c r="E34">
        <v>9</v>
      </c>
      <c r="F34" t="s">
        <v>8</v>
      </c>
    </row>
    <row r="35" spans="1:6" x14ac:dyDescent="0.25">
      <c r="A35" s="1">
        <v>41183</v>
      </c>
      <c r="B35">
        <f>B34*1.2</f>
        <v>48.186597165035423</v>
      </c>
      <c r="C35">
        <f>C34*1.15</f>
        <v>6.5751961612920642</v>
      </c>
      <c r="D35">
        <v>0</v>
      </c>
      <c r="E35">
        <v>10</v>
      </c>
      <c r="F35" t="s">
        <v>8</v>
      </c>
    </row>
    <row r="36" spans="1:6" x14ac:dyDescent="0.25">
      <c r="A36" s="1">
        <v>41214</v>
      </c>
      <c r="B36">
        <f>B35*1.2</f>
        <v>57.823916598042501</v>
      </c>
      <c r="C36">
        <f>C35*1.2</f>
        <v>7.8902353935504763</v>
      </c>
      <c r="D36">
        <v>0</v>
      </c>
      <c r="E36">
        <v>11</v>
      </c>
      <c r="F36" t="s">
        <v>6</v>
      </c>
    </row>
    <row r="37" spans="1:6" x14ac:dyDescent="0.25">
      <c r="A37" s="1">
        <v>41244</v>
      </c>
      <c r="B37">
        <f>B36*2</f>
        <v>115.647833196085</v>
      </c>
      <c r="C37">
        <f>C36*1.7</f>
        <v>13.413400169035809</v>
      </c>
      <c r="D37">
        <v>0</v>
      </c>
      <c r="E37">
        <v>12</v>
      </c>
      <c r="F37" t="s">
        <v>6</v>
      </c>
    </row>
    <row r="38" spans="1:6" x14ac:dyDescent="0.25">
      <c r="A38" s="1">
        <v>41275</v>
      </c>
      <c r="B38">
        <f>B37*0.31</f>
        <v>35.850828290786353</v>
      </c>
      <c r="C38">
        <f>C37*0.6</f>
        <v>8.0480401014214848</v>
      </c>
      <c r="D38">
        <v>0</v>
      </c>
      <c r="E38">
        <v>1</v>
      </c>
      <c r="F38" t="s">
        <v>6</v>
      </c>
    </row>
    <row r="39" spans="1:6" x14ac:dyDescent="0.25">
      <c r="A39" s="1">
        <v>41306</v>
      </c>
      <c r="B39">
        <f>B38*0.8</f>
        <v>28.680662632629083</v>
      </c>
      <c r="C39">
        <f>C38*0.8</f>
        <v>6.4384320811371882</v>
      </c>
      <c r="D39">
        <v>0</v>
      </c>
      <c r="E39">
        <v>2</v>
      </c>
      <c r="F39" t="s">
        <v>7</v>
      </c>
    </row>
    <row r="40" spans="1:6" x14ac:dyDescent="0.25">
      <c r="A40" s="1">
        <v>41334</v>
      </c>
      <c r="B40">
        <f>B39*1.1</f>
        <v>31.548728895891994</v>
      </c>
      <c r="C40">
        <f>C39*1.13</f>
        <v>7.2754282516850219</v>
      </c>
      <c r="D40">
        <v>0</v>
      </c>
      <c r="E40">
        <v>3</v>
      </c>
      <c r="F40" t="s">
        <v>7</v>
      </c>
    </row>
    <row r="41" spans="1:6" x14ac:dyDescent="0.25">
      <c r="A41" s="1">
        <v>41365</v>
      </c>
      <c r="B41">
        <f>B40*0.9</f>
        <v>28.393856006302794</v>
      </c>
      <c r="C41">
        <f>C40*0.9</f>
        <v>6.5478854265165198</v>
      </c>
      <c r="D41">
        <v>0</v>
      </c>
      <c r="E41">
        <v>4</v>
      </c>
      <c r="F41" t="s">
        <v>7</v>
      </c>
    </row>
    <row r="42" spans="1:6" x14ac:dyDescent="0.25">
      <c r="A42" s="1">
        <v>41395</v>
      </c>
      <c r="B42">
        <f>B41*1.5</f>
        <v>42.59078400945419</v>
      </c>
      <c r="C42">
        <f>C41*1.05</f>
        <v>6.8752796978423465</v>
      </c>
      <c r="D42">
        <v>0</v>
      </c>
      <c r="E42">
        <v>5</v>
      </c>
      <c r="F42" t="s">
        <v>9</v>
      </c>
    </row>
    <row r="43" spans="1:6" x14ac:dyDescent="0.25">
      <c r="A43" s="1">
        <v>41426</v>
      </c>
      <c r="B43">
        <f>B42*1.2</f>
        <v>51.108940811345029</v>
      </c>
      <c r="C43">
        <f>C42*1.1</f>
        <v>7.5628076676265819</v>
      </c>
      <c r="D43">
        <v>0</v>
      </c>
      <c r="E43">
        <v>6</v>
      </c>
      <c r="F43" t="s">
        <v>9</v>
      </c>
    </row>
    <row r="44" spans="1:6" x14ac:dyDescent="0.25">
      <c r="A44" s="1">
        <v>41456</v>
      </c>
      <c r="B44">
        <f>B43*0.8</f>
        <v>40.887152649076029</v>
      </c>
      <c r="C44">
        <f>C43*0.8</f>
        <v>6.0502461341012657</v>
      </c>
      <c r="D44">
        <v>0</v>
      </c>
      <c r="E44">
        <v>7</v>
      </c>
      <c r="F44" t="s">
        <v>9</v>
      </c>
    </row>
    <row r="45" spans="1:6" x14ac:dyDescent="0.25">
      <c r="A45" s="1">
        <v>41487</v>
      </c>
      <c r="B45">
        <f>B44*0.9</f>
        <v>36.79843738416843</v>
      </c>
      <c r="C45">
        <f>C44*0.9</f>
        <v>5.4452215206911392</v>
      </c>
      <c r="D45">
        <v>0</v>
      </c>
      <c r="E45">
        <v>8</v>
      </c>
      <c r="F45" t="s">
        <v>8</v>
      </c>
    </row>
    <row r="46" spans="1:6" x14ac:dyDescent="0.25">
      <c r="A46" s="1">
        <v>41518</v>
      </c>
      <c r="B46">
        <f>B45*1.1</f>
        <v>40.47828112258528</v>
      </c>
      <c r="C46">
        <f>C45*1.1</f>
        <v>5.9897436727602535</v>
      </c>
      <c r="D46">
        <v>0</v>
      </c>
      <c r="E46">
        <v>9</v>
      </c>
      <c r="F46" t="s">
        <v>8</v>
      </c>
    </row>
    <row r="47" spans="1:6" x14ac:dyDescent="0.25">
      <c r="A47" s="1">
        <v>41548</v>
      </c>
      <c r="B47">
        <f>B46*1.2</f>
        <v>48.573937347102337</v>
      </c>
      <c r="C47">
        <f>C46*1.15</f>
        <v>6.8882052236742908</v>
      </c>
      <c r="D47">
        <v>0</v>
      </c>
      <c r="E47">
        <v>10</v>
      </c>
      <c r="F47" t="s">
        <v>8</v>
      </c>
    </row>
    <row r="48" spans="1:6" x14ac:dyDescent="0.25">
      <c r="A48" s="1">
        <v>41579</v>
      </c>
      <c r="B48">
        <f>B47*1.2</f>
        <v>58.288724816522802</v>
      </c>
      <c r="C48">
        <f>C47*1.2</f>
        <v>8.2658462684091489</v>
      </c>
      <c r="D48">
        <v>0</v>
      </c>
      <c r="E48">
        <v>11</v>
      </c>
      <c r="F48" t="s">
        <v>6</v>
      </c>
    </row>
    <row r="49" spans="1:6" x14ac:dyDescent="0.25">
      <c r="A49" s="1">
        <v>41609</v>
      </c>
      <c r="B49">
        <f>B48*2</f>
        <v>116.5774496330456</v>
      </c>
      <c r="C49">
        <f>C48*1.7</f>
        <v>14.051938656295553</v>
      </c>
      <c r="D49">
        <v>0</v>
      </c>
      <c r="E49">
        <v>12</v>
      </c>
      <c r="F49" t="s">
        <v>6</v>
      </c>
    </row>
    <row r="50" spans="1:6" x14ac:dyDescent="0.25">
      <c r="A50" s="1">
        <v>41640</v>
      </c>
      <c r="B50">
        <f>B49*0.31</f>
        <v>36.139009386244133</v>
      </c>
      <c r="C50">
        <f>C49*0.6</f>
        <v>8.4311631937773317</v>
      </c>
      <c r="D50">
        <v>0</v>
      </c>
      <c r="E50">
        <v>1</v>
      </c>
      <c r="F50" t="s">
        <v>6</v>
      </c>
    </row>
    <row r="51" spans="1:6" x14ac:dyDescent="0.25">
      <c r="A51" s="1">
        <v>41671</v>
      </c>
      <c r="B51">
        <f>B50*0.8</f>
        <v>28.911207508995307</v>
      </c>
      <c r="C51">
        <f>C50*0.8</f>
        <v>6.7449305550218659</v>
      </c>
      <c r="D51">
        <v>0</v>
      </c>
      <c r="E51">
        <v>2</v>
      </c>
      <c r="F51" t="s">
        <v>7</v>
      </c>
    </row>
    <row r="52" spans="1:6" x14ac:dyDescent="0.25">
      <c r="A52" s="1">
        <v>41699</v>
      </c>
      <c r="B52">
        <f>B51*1.1</f>
        <v>31.802328259894839</v>
      </c>
      <c r="C52">
        <f>C51*1.13</f>
        <v>7.6217715271747082</v>
      </c>
      <c r="D52">
        <v>0</v>
      </c>
      <c r="E52">
        <v>3</v>
      </c>
      <c r="F52" t="s">
        <v>7</v>
      </c>
    </row>
    <row r="53" spans="1:6" x14ac:dyDescent="0.25">
      <c r="A53" s="1">
        <v>41730</v>
      </c>
      <c r="B53">
        <f>B52*0.9</f>
        <v>28.622095433905354</v>
      </c>
      <c r="C53">
        <f>C52*0.9</f>
        <v>6.8595943744572372</v>
      </c>
      <c r="D53">
        <v>0</v>
      </c>
      <c r="E53">
        <v>4</v>
      </c>
      <c r="F53" t="s">
        <v>7</v>
      </c>
    </row>
    <row r="54" spans="1:6" x14ac:dyDescent="0.25">
      <c r="A54" s="1">
        <v>41760</v>
      </c>
      <c r="B54">
        <f>B53*1.5</f>
        <v>42.933143150858029</v>
      </c>
      <c r="C54">
        <f>C53*1.05</f>
        <v>7.2025740931800994</v>
      </c>
      <c r="D54">
        <v>0</v>
      </c>
      <c r="E54">
        <v>5</v>
      </c>
      <c r="F54" t="s">
        <v>9</v>
      </c>
    </row>
    <row r="55" spans="1:6" x14ac:dyDescent="0.25">
      <c r="A55" s="1">
        <v>41791</v>
      </c>
      <c r="B55">
        <f>B54*1.2</f>
        <v>51.519771781029633</v>
      </c>
      <c r="C55">
        <f>C54*1.1</f>
        <v>7.9228315024981102</v>
      </c>
      <c r="D55">
        <v>0</v>
      </c>
      <c r="E55">
        <v>6</v>
      </c>
      <c r="F55" t="s">
        <v>9</v>
      </c>
    </row>
    <row r="56" spans="1:6" x14ac:dyDescent="0.25">
      <c r="A56" s="1">
        <v>41821</v>
      </c>
      <c r="B56">
        <f>B55*0.8</f>
        <v>41.215817424823712</v>
      </c>
      <c r="C56">
        <f>C55*0.8</f>
        <v>6.3382652019984889</v>
      </c>
      <c r="D56">
        <v>0</v>
      </c>
      <c r="E56">
        <v>7</v>
      </c>
      <c r="F56" t="s">
        <v>9</v>
      </c>
    </row>
    <row r="57" spans="1:6" x14ac:dyDescent="0.25">
      <c r="A57" s="1">
        <v>41852</v>
      </c>
      <c r="B57">
        <f>B56*0.9</f>
        <v>37.094235682341342</v>
      </c>
      <c r="C57">
        <f>C56*0.9</f>
        <v>5.7044386817986403</v>
      </c>
      <c r="D57">
        <v>0</v>
      </c>
      <c r="E57">
        <v>8</v>
      </c>
      <c r="F57" t="s">
        <v>8</v>
      </c>
    </row>
    <row r="58" spans="1:6" x14ac:dyDescent="0.25">
      <c r="A58" s="1">
        <v>41883</v>
      </c>
      <c r="B58">
        <f>B57*1.1</f>
        <v>40.803659250575478</v>
      </c>
      <c r="C58">
        <f>C57*1.1</f>
        <v>6.2748825499785053</v>
      </c>
      <c r="D58">
        <v>0</v>
      </c>
      <c r="E58">
        <v>9</v>
      </c>
      <c r="F58" t="s">
        <v>8</v>
      </c>
    </row>
    <row r="59" spans="1:6" x14ac:dyDescent="0.25">
      <c r="A59" s="1">
        <v>41913</v>
      </c>
      <c r="B59">
        <f>B58*1.2</f>
        <v>48.96439110069057</v>
      </c>
      <c r="C59">
        <f>C58*1.15</f>
        <v>7.2161149324752802</v>
      </c>
      <c r="D59">
        <v>0</v>
      </c>
      <c r="E59">
        <v>10</v>
      </c>
      <c r="F59" t="s">
        <v>8</v>
      </c>
    </row>
    <row r="60" spans="1:6" x14ac:dyDescent="0.25">
      <c r="A60" s="1">
        <v>41944</v>
      </c>
      <c r="B60">
        <f>B59*1.2</f>
        <v>58.757269320828684</v>
      </c>
      <c r="C60">
        <f>C59*1.2</f>
        <v>8.6593379189703352</v>
      </c>
      <c r="D60">
        <v>0</v>
      </c>
      <c r="E60">
        <v>11</v>
      </c>
      <c r="F60" t="s">
        <v>6</v>
      </c>
    </row>
    <row r="61" spans="1:6" x14ac:dyDescent="0.25">
      <c r="A61" s="1">
        <v>41974</v>
      </c>
      <c r="B61">
        <f>B60*2</f>
        <v>117.51453864165737</v>
      </c>
      <c r="C61">
        <f>C60*1.7</f>
        <v>14.720874462249569</v>
      </c>
      <c r="D61">
        <v>0</v>
      </c>
      <c r="E61">
        <v>12</v>
      </c>
      <c r="F61" t="s">
        <v>6</v>
      </c>
    </row>
    <row r="62" spans="1:6" x14ac:dyDescent="0.25">
      <c r="A62" s="1">
        <v>42005</v>
      </c>
      <c r="B62">
        <f>B61*0.31</f>
        <v>36.429506978913786</v>
      </c>
      <c r="C62">
        <f>C61*0.6</f>
        <v>8.8325246773497401</v>
      </c>
      <c r="D62">
        <v>0</v>
      </c>
      <c r="E62">
        <v>1</v>
      </c>
      <c r="F62" t="s">
        <v>6</v>
      </c>
    </row>
    <row r="63" spans="1:6" x14ac:dyDescent="0.25">
      <c r="A63" s="1">
        <v>42036</v>
      </c>
      <c r="B63">
        <f>B62*0.8</f>
        <v>29.143605583131031</v>
      </c>
      <c r="C63">
        <f>C62*0.8</f>
        <v>7.0660197418797921</v>
      </c>
      <c r="D63">
        <v>0</v>
      </c>
      <c r="E63">
        <v>2</v>
      </c>
      <c r="F63" t="s">
        <v>7</v>
      </c>
    </row>
    <row r="64" spans="1:6" x14ac:dyDescent="0.25">
      <c r="A64" s="1">
        <v>42064</v>
      </c>
      <c r="B64">
        <f>B63*1.1</f>
        <v>32.057966141444133</v>
      </c>
      <c r="C64">
        <f>C63*1.13</f>
        <v>7.9846023083241642</v>
      </c>
      <c r="D64">
        <v>0</v>
      </c>
      <c r="E64">
        <v>3</v>
      </c>
      <c r="F64" t="s">
        <v>7</v>
      </c>
    </row>
    <row r="65" spans="1:6" x14ac:dyDescent="0.25">
      <c r="A65" s="1">
        <v>42095</v>
      </c>
      <c r="B65">
        <f>B64*0.9</f>
        <v>28.852169527299722</v>
      </c>
      <c r="C65">
        <f>C64*0.9</f>
        <v>7.1861420774917475</v>
      </c>
      <c r="D65">
        <v>0</v>
      </c>
      <c r="E65">
        <v>4</v>
      </c>
      <c r="F65" t="s">
        <v>7</v>
      </c>
    </row>
    <row r="66" spans="1:6" x14ac:dyDescent="0.25">
      <c r="A66" s="1">
        <v>42125</v>
      </c>
      <c r="B66">
        <f>B65*1.5</f>
        <v>43.278254290949583</v>
      </c>
      <c r="C66">
        <f>C65*1.05</f>
        <v>7.5454491813663349</v>
      </c>
      <c r="D66">
        <v>0</v>
      </c>
      <c r="E66">
        <v>5</v>
      </c>
      <c r="F66" t="s">
        <v>9</v>
      </c>
    </row>
    <row r="67" spans="1:6" x14ac:dyDescent="0.25">
      <c r="A67" s="1">
        <v>42156</v>
      </c>
      <c r="B67">
        <f>B66*1.2</f>
        <v>51.933905149139498</v>
      </c>
      <c r="C67">
        <f>C66*1.1</f>
        <v>8.2999940995029693</v>
      </c>
      <c r="D67">
        <v>0</v>
      </c>
      <c r="E67">
        <v>6</v>
      </c>
      <c r="F67" t="s">
        <v>9</v>
      </c>
    </row>
    <row r="68" spans="1:6" x14ac:dyDescent="0.25">
      <c r="A68" s="1">
        <v>42186</v>
      </c>
      <c r="B68">
        <f>B67*0.8</f>
        <v>41.547124119311604</v>
      </c>
      <c r="C68">
        <f>C67*0.8</f>
        <v>6.6399952796023758</v>
      </c>
      <c r="D68">
        <v>0</v>
      </c>
      <c r="E68">
        <v>7</v>
      </c>
      <c r="F68" t="s">
        <v>9</v>
      </c>
    </row>
    <row r="69" spans="1:6" x14ac:dyDescent="0.25">
      <c r="A69" s="1">
        <v>42217</v>
      </c>
      <c r="B69">
        <f>B68*0.9</f>
        <v>37.392411707380447</v>
      </c>
      <c r="C69">
        <f>C68*0.9</f>
        <v>5.975995751642138</v>
      </c>
      <c r="D69">
        <v>0</v>
      </c>
      <c r="E69">
        <v>8</v>
      </c>
      <c r="F69" t="s">
        <v>8</v>
      </c>
    </row>
    <row r="70" spans="1:6" x14ac:dyDescent="0.25">
      <c r="A70" s="1">
        <v>42248</v>
      </c>
      <c r="B70">
        <f>B69*1.1</f>
        <v>41.131652878118494</v>
      </c>
      <c r="C70">
        <f>C69*1.1</f>
        <v>6.5735953268063527</v>
      </c>
      <c r="D70">
        <v>0</v>
      </c>
      <c r="E70">
        <v>9</v>
      </c>
      <c r="F70" t="s">
        <v>8</v>
      </c>
    </row>
    <row r="71" spans="1:6" x14ac:dyDescent="0.25">
      <c r="A71" s="1">
        <v>42278</v>
      </c>
      <c r="B71">
        <f>B70*1.2</f>
        <v>49.357983453742193</v>
      </c>
      <c r="C71">
        <f>C70*1.15</f>
        <v>7.5596346258273046</v>
      </c>
      <c r="D71">
        <v>0</v>
      </c>
      <c r="E71">
        <v>10</v>
      </c>
      <c r="F71" t="s">
        <v>8</v>
      </c>
    </row>
    <row r="72" spans="1:6" x14ac:dyDescent="0.25">
      <c r="A72" s="1">
        <v>42309</v>
      </c>
      <c r="B72">
        <f>B71*1.2</f>
        <v>59.229580144490626</v>
      </c>
      <c r="C72">
        <f>C71*1.2</f>
        <v>9.0715615509927652</v>
      </c>
      <c r="D72">
        <v>0</v>
      </c>
      <c r="E72">
        <v>11</v>
      </c>
      <c r="F72" t="s">
        <v>6</v>
      </c>
    </row>
    <row r="73" spans="1:6" x14ac:dyDescent="0.25">
      <c r="A73" s="1">
        <v>42339</v>
      </c>
      <c r="B73">
        <f>B72*2</f>
        <v>118.45916028898125</v>
      </c>
      <c r="C73">
        <f>C72*1.7</f>
        <v>15.4216546366877</v>
      </c>
      <c r="D73">
        <v>0</v>
      </c>
      <c r="E73">
        <v>12</v>
      </c>
      <c r="F73" t="s">
        <v>6</v>
      </c>
    </row>
    <row r="74" spans="1:6" x14ac:dyDescent="0.25">
      <c r="A74" s="1">
        <v>42370</v>
      </c>
      <c r="B74">
        <f>B73*0.31</f>
        <v>36.722339689584189</v>
      </c>
      <c r="C74">
        <f>C73*0.6</f>
        <v>9.252992782012619</v>
      </c>
      <c r="D74">
        <v>0</v>
      </c>
      <c r="E74">
        <v>1</v>
      </c>
      <c r="F74" t="s">
        <v>6</v>
      </c>
    </row>
    <row r="75" spans="1:6" x14ac:dyDescent="0.25">
      <c r="A75" s="1">
        <v>42401</v>
      </c>
      <c r="B75">
        <f>B74*0.8</f>
        <v>29.377871751667353</v>
      </c>
      <c r="C75">
        <f>C74*0.8</f>
        <v>7.4023942256100952</v>
      </c>
      <c r="D75">
        <v>0</v>
      </c>
      <c r="E75">
        <v>2</v>
      </c>
      <c r="F75" t="s">
        <v>7</v>
      </c>
    </row>
    <row r="76" spans="1:6" x14ac:dyDescent="0.25">
      <c r="A76" s="1">
        <v>42430</v>
      </c>
      <c r="B76">
        <f>B75*1.1</f>
        <v>32.315658926834089</v>
      </c>
      <c r="C76">
        <f>C75*1.13</f>
        <v>8.3647054749394076</v>
      </c>
      <c r="D76">
        <v>0</v>
      </c>
      <c r="E76">
        <v>3</v>
      </c>
      <c r="F76" t="s">
        <v>7</v>
      </c>
    </row>
    <row r="77" spans="1:6" x14ac:dyDescent="0.25">
      <c r="A77" s="1">
        <v>42461</v>
      </c>
      <c r="B77">
        <f>B76*0.9</f>
        <v>29.08409303415068</v>
      </c>
      <c r="C77">
        <f>C76*0.9</f>
        <v>7.5282349274454674</v>
      </c>
      <c r="D77">
        <v>0</v>
      </c>
      <c r="E77">
        <v>4</v>
      </c>
      <c r="F77" t="s">
        <v>7</v>
      </c>
    </row>
    <row r="78" spans="1:6" x14ac:dyDescent="0.25">
      <c r="A78" s="1">
        <v>42491</v>
      </c>
      <c r="B78">
        <f>B77*1.5</f>
        <v>43.626139551226018</v>
      </c>
      <c r="C78">
        <f>C77*1.05</f>
        <v>7.9046466738177408</v>
      </c>
      <c r="D78">
        <v>0</v>
      </c>
      <c r="E78">
        <v>5</v>
      </c>
      <c r="F78" t="s">
        <v>9</v>
      </c>
    </row>
    <row r="79" spans="1:6" x14ac:dyDescent="0.25">
      <c r="A79" s="1">
        <v>42522</v>
      </c>
      <c r="B79">
        <f>B78*1.2</f>
        <v>52.35136746147122</v>
      </c>
      <c r="C79">
        <f>C78*1.1</f>
        <v>8.6951113411995156</v>
      </c>
      <c r="D79">
        <v>0</v>
      </c>
      <c r="E79">
        <v>6</v>
      </c>
      <c r="F79" t="s">
        <v>9</v>
      </c>
    </row>
    <row r="80" spans="1:6" x14ac:dyDescent="0.25">
      <c r="A80" s="1">
        <v>42552</v>
      </c>
      <c r="B80">
        <f>B79*0.8</f>
        <v>41.88109396917698</v>
      </c>
      <c r="C80">
        <f>C79*0.8</f>
        <v>6.956089072959613</v>
      </c>
      <c r="D80">
        <v>0</v>
      </c>
      <c r="E80">
        <v>7</v>
      </c>
      <c r="F80" t="s">
        <v>9</v>
      </c>
    </row>
    <row r="81" spans="1:6" x14ac:dyDescent="0.25">
      <c r="A81" s="1">
        <v>42583</v>
      </c>
      <c r="B81">
        <f>B80*0.9</f>
        <v>37.692984572259284</v>
      </c>
      <c r="C81">
        <f>C80*0.9</f>
        <v>6.260480165663652</v>
      </c>
      <c r="D81">
        <v>0</v>
      </c>
      <c r="E81">
        <v>8</v>
      </c>
      <c r="F81" t="s">
        <v>8</v>
      </c>
    </row>
    <row r="82" spans="1:6" x14ac:dyDescent="0.25">
      <c r="A82" s="1">
        <v>42614</v>
      </c>
      <c r="B82">
        <f>B81*1.1</f>
        <v>41.462283029485214</v>
      </c>
      <c r="C82">
        <f>C81*1.1</f>
        <v>6.8865281822300179</v>
      </c>
      <c r="D82">
        <v>0</v>
      </c>
      <c r="E82">
        <v>9</v>
      </c>
      <c r="F82" t="s">
        <v>8</v>
      </c>
    </row>
    <row r="83" spans="1:6" x14ac:dyDescent="0.25">
      <c r="A83" s="1">
        <v>42644</v>
      </c>
      <c r="B83">
        <f>B82*1.2</f>
        <v>49.754739635382258</v>
      </c>
      <c r="C83">
        <f>C82*1.15</f>
        <v>7.9195074095645204</v>
      </c>
      <c r="D83">
        <v>0</v>
      </c>
      <c r="E83">
        <v>10</v>
      </c>
      <c r="F83" t="s">
        <v>8</v>
      </c>
    </row>
    <row r="84" spans="1:6" x14ac:dyDescent="0.25">
      <c r="A84" s="1">
        <v>42675</v>
      </c>
      <c r="B84">
        <f>B83*1.2</f>
        <v>59.705687562458706</v>
      </c>
      <c r="C84">
        <f>C83*1.2</f>
        <v>9.5034088914774237</v>
      </c>
      <c r="D84">
        <v>0</v>
      </c>
      <c r="E84">
        <v>11</v>
      </c>
      <c r="F84" t="s">
        <v>6</v>
      </c>
    </row>
    <row r="85" spans="1:6" x14ac:dyDescent="0.25">
      <c r="A85" s="1">
        <v>42705</v>
      </c>
      <c r="B85">
        <f>B84*2</f>
        <v>119.41137512491741</v>
      </c>
      <c r="C85">
        <f>C84*1.7</f>
        <v>16.155795115511619</v>
      </c>
      <c r="D85">
        <v>0</v>
      </c>
      <c r="E85">
        <v>12</v>
      </c>
      <c r="F85" t="s">
        <v>6</v>
      </c>
    </row>
    <row r="86" spans="1:6" x14ac:dyDescent="0.25">
      <c r="A86" s="1">
        <v>42736</v>
      </c>
      <c r="B86">
        <f>B85*0.31</f>
        <v>37.017526288724397</v>
      </c>
      <c r="C86">
        <f>C85*0.6</f>
        <v>9.6934770693069705</v>
      </c>
      <c r="D86">
        <v>0</v>
      </c>
      <c r="E86">
        <v>1</v>
      </c>
      <c r="F86" t="s">
        <v>6</v>
      </c>
    </row>
    <row r="87" spans="1:6" x14ac:dyDescent="0.25">
      <c r="A87" s="1">
        <v>42767</v>
      </c>
      <c r="B87">
        <f>B86*0.8</f>
        <v>29.614021030979519</v>
      </c>
      <c r="C87">
        <f>C86*0.8</f>
        <v>7.7547816554455764</v>
      </c>
      <c r="D87">
        <v>0</v>
      </c>
      <c r="E87">
        <v>2</v>
      </c>
      <c r="F87" t="s">
        <v>7</v>
      </c>
    </row>
    <row r="88" spans="1:6" x14ac:dyDescent="0.25">
      <c r="A88" s="1">
        <v>42795</v>
      </c>
      <c r="B88">
        <f>B87*1.1</f>
        <v>32.575423134077475</v>
      </c>
      <c r="C88">
        <f>C87*1.13</f>
        <v>8.7629032706535011</v>
      </c>
      <c r="D88">
        <v>0</v>
      </c>
      <c r="E88">
        <v>3</v>
      </c>
      <c r="F88" t="s">
        <v>7</v>
      </c>
    </row>
    <row r="89" spans="1:6" x14ac:dyDescent="0.25">
      <c r="A89" s="1">
        <v>42826</v>
      </c>
      <c r="B89">
        <f>B88*0.9</f>
        <v>29.317880820669728</v>
      </c>
      <c r="C89">
        <f>C88*0.9</f>
        <v>7.8866129435881511</v>
      </c>
      <c r="D89">
        <v>0</v>
      </c>
      <c r="E89">
        <v>4</v>
      </c>
      <c r="F89" t="s">
        <v>7</v>
      </c>
    </row>
    <row r="90" spans="1:6" x14ac:dyDescent="0.25">
      <c r="A90" s="1">
        <v>42856</v>
      </c>
      <c r="B90">
        <f>B89*1.5</f>
        <v>43.976821231004593</v>
      </c>
      <c r="C90">
        <f>C89*1.05</f>
        <v>8.2809435907675581</v>
      </c>
      <c r="D90">
        <v>0</v>
      </c>
      <c r="E90">
        <v>5</v>
      </c>
      <c r="F90" t="s">
        <v>9</v>
      </c>
    </row>
    <row r="91" spans="1:6" x14ac:dyDescent="0.25">
      <c r="A91" s="1">
        <v>42887</v>
      </c>
      <c r="B91">
        <f>B90*1.2</f>
        <v>52.772185477205511</v>
      </c>
      <c r="C91">
        <f>C90*1.1</f>
        <v>9.1090379498443141</v>
      </c>
      <c r="D91">
        <v>0</v>
      </c>
      <c r="E91">
        <v>6</v>
      </c>
      <c r="F91" t="s">
        <v>9</v>
      </c>
    </row>
    <row r="92" spans="1:6" x14ac:dyDescent="0.25">
      <c r="A92" s="1">
        <v>42917</v>
      </c>
      <c r="B92">
        <f>B91*0.8</f>
        <v>42.217748381764409</v>
      </c>
      <c r="C92">
        <f>C91*0.8</f>
        <v>7.2872303598754513</v>
      </c>
      <c r="D92">
        <v>0</v>
      </c>
      <c r="E92">
        <v>7</v>
      </c>
      <c r="F92" t="s">
        <v>9</v>
      </c>
    </row>
    <row r="93" spans="1:6" x14ac:dyDescent="0.25">
      <c r="A93" s="1">
        <v>42948</v>
      </c>
      <c r="B93">
        <f>B92*0.9</f>
        <v>37.995973543587972</v>
      </c>
      <c r="C93">
        <f>C92*0.9</f>
        <v>6.5585073238879064</v>
      </c>
      <c r="D93">
        <v>0</v>
      </c>
      <c r="E93">
        <v>8</v>
      </c>
      <c r="F93" t="s">
        <v>8</v>
      </c>
    </row>
    <row r="94" spans="1:6" x14ac:dyDescent="0.25">
      <c r="A94" s="1">
        <v>42979</v>
      </c>
      <c r="B94">
        <f>B93*1.1</f>
        <v>41.795570897946774</v>
      </c>
      <c r="C94">
        <f>C93*1.1</f>
        <v>7.2143580562766978</v>
      </c>
      <c r="D94">
        <v>0</v>
      </c>
      <c r="E94">
        <v>9</v>
      </c>
      <c r="F94" t="s">
        <v>8</v>
      </c>
    </row>
    <row r="95" spans="1:6" x14ac:dyDescent="0.25">
      <c r="A95" s="1">
        <v>43009</v>
      </c>
      <c r="B95">
        <f>B94*1.2</f>
        <v>50.154685077536129</v>
      </c>
      <c r="C95">
        <f>C94*1.15</f>
        <v>8.2965117647182023</v>
      </c>
      <c r="D95">
        <v>0</v>
      </c>
      <c r="E95">
        <v>10</v>
      </c>
      <c r="F95" t="s">
        <v>8</v>
      </c>
    </row>
    <row r="96" spans="1:6" x14ac:dyDescent="0.25">
      <c r="A96" s="1">
        <v>43040</v>
      </c>
      <c r="B96">
        <f>B95*1.2</f>
        <v>60.185622093043349</v>
      </c>
      <c r="C96">
        <f>C95*1.2</f>
        <v>9.9558141176618431</v>
      </c>
      <c r="D96">
        <v>0</v>
      </c>
      <c r="E96">
        <v>11</v>
      </c>
      <c r="F96" t="s">
        <v>6</v>
      </c>
    </row>
    <row r="97" spans="1:6" x14ac:dyDescent="0.25">
      <c r="A97" s="1">
        <v>43070</v>
      </c>
      <c r="B97">
        <f>B96*2</f>
        <v>120.3712441860867</v>
      </c>
      <c r="C97">
        <f>C96*1.7</f>
        <v>16.924884000025134</v>
      </c>
      <c r="D97">
        <v>0</v>
      </c>
      <c r="E97">
        <v>12</v>
      </c>
      <c r="F97" t="s">
        <v>6</v>
      </c>
    </row>
    <row r="98" spans="1:6" x14ac:dyDescent="0.25">
      <c r="A98" s="1">
        <v>43101</v>
      </c>
      <c r="B98">
        <f>B97*0.31</f>
        <v>37.315085697686875</v>
      </c>
      <c r="C98">
        <f>C97*0.6</f>
        <v>10.154930400015081</v>
      </c>
      <c r="D98">
        <v>0</v>
      </c>
      <c r="E98">
        <v>1</v>
      </c>
      <c r="F98" t="s">
        <v>6</v>
      </c>
    </row>
    <row r="99" spans="1:6" x14ac:dyDescent="0.25">
      <c r="A99" s="1">
        <v>43132</v>
      </c>
      <c r="B99">
        <f>B98*0.8</f>
        <v>29.852068558149501</v>
      </c>
      <c r="C99">
        <f>C98*0.8</f>
        <v>8.1239443200120647</v>
      </c>
      <c r="D99">
        <v>0</v>
      </c>
      <c r="E99">
        <v>2</v>
      </c>
      <c r="F99" t="s">
        <v>7</v>
      </c>
    </row>
    <row r="100" spans="1:6" x14ac:dyDescent="0.25">
      <c r="A100" s="1">
        <v>43160</v>
      </c>
      <c r="B100">
        <f>B99*1.1</f>
        <v>32.837275413964456</v>
      </c>
      <c r="C100">
        <f>C99*1.13</f>
        <v>9.1800570816136329</v>
      </c>
      <c r="D100">
        <v>0</v>
      </c>
      <c r="E100">
        <v>3</v>
      </c>
      <c r="F100" t="s">
        <v>7</v>
      </c>
    </row>
    <row r="101" spans="1:6" x14ac:dyDescent="0.25">
      <c r="A101" s="1">
        <v>43191</v>
      </c>
      <c r="B101">
        <f>B100*0.9</f>
        <v>29.553547872568011</v>
      </c>
      <c r="C101">
        <f>C100*0.9</f>
        <v>8.2620513734522696</v>
      </c>
      <c r="D101">
        <v>0</v>
      </c>
      <c r="E101">
        <v>4</v>
      </c>
      <c r="F101" t="s">
        <v>7</v>
      </c>
    </row>
    <row r="102" spans="1:6" x14ac:dyDescent="0.25">
      <c r="A102" s="1">
        <v>43221</v>
      </c>
      <c r="B102">
        <f>B101*1.5</f>
        <v>44.33032180885202</v>
      </c>
      <c r="C102">
        <f>C101*1.05</f>
        <v>8.6751539421248829</v>
      </c>
      <c r="D102">
        <v>0</v>
      </c>
      <c r="E102">
        <v>5</v>
      </c>
      <c r="F102" t="s">
        <v>9</v>
      </c>
    </row>
    <row r="103" spans="1:6" x14ac:dyDescent="0.25">
      <c r="A103" s="1">
        <v>43252</v>
      </c>
      <c r="B103">
        <f>B102*1.2</f>
        <v>53.196386170622425</v>
      </c>
      <c r="C103">
        <f>C102*1.1</f>
        <v>9.5426693363373722</v>
      </c>
      <c r="D103">
        <v>0</v>
      </c>
      <c r="E103">
        <v>6</v>
      </c>
      <c r="F103" t="s">
        <v>9</v>
      </c>
    </row>
    <row r="104" spans="1:6" x14ac:dyDescent="0.25">
      <c r="A104" s="1">
        <v>43282</v>
      </c>
      <c r="B104">
        <f>B103*0.8</f>
        <v>42.55710893649794</v>
      </c>
      <c r="C104">
        <f>C103*0.8</f>
        <v>7.6341354690698981</v>
      </c>
      <c r="D104">
        <v>0</v>
      </c>
      <c r="E104">
        <v>7</v>
      </c>
      <c r="F104" t="s">
        <v>9</v>
      </c>
    </row>
    <row r="105" spans="1:6" x14ac:dyDescent="0.25">
      <c r="A105" s="1">
        <v>43313</v>
      </c>
      <c r="B105">
        <f>B104*0.9</f>
        <v>38.301398042848149</v>
      </c>
      <c r="C105">
        <f>C104*0.9</f>
        <v>6.8707219221629083</v>
      </c>
      <c r="D105">
        <v>0</v>
      </c>
      <c r="E105">
        <v>8</v>
      </c>
      <c r="F105" t="s">
        <v>8</v>
      </c>
    </row>
    <row r="106" spans="1:6" x14ac:dyDescent="0.25">
      <c r="A106" s="1">
        <v>43344</v>
      </c>
      <c r="B106">
        <f>B105*1.1</f>
        <v>42.131537847132968</v>
      </c>
      <c r="C106">
        <f>C105*1.1</f>
        <v>7.5577941143791998</v>
      </c>
      <c r="D106">
        <v>0</v>
      </c>
      <c r="E106">
        <v>9</v>
      </c>
      <c r="F106" t="s">
        <v>8</v>
      </c>
    </row>
    <row r="107" spans="1:6" x14ac:dyDescent="0.25">
      <c r="A107" s="1">
        <v>43374</v>
      </c>
      <c r="B107">
        <f>B106*1.2</f>
        <v>50.557845416559559</v>
      </c>
      <c r="C107">
        <f>C106*1.15</f>
        <v>8.6914632315360798</v>
      </c>
      <c r="D107">
        <v>0</v>
      </c>
      <c r="E107">
        <v>10</v>
      </c>
      <c r="F107" t="s">
        <v>8</v>
      </c>
    </row>
    <row r="108" spans="1:6" x14ac:dyDescent="0.25">
      <c r="A108" s="1">
        <v>43405</v>
      </c>
      <c r="B108">
        <f>B107*1.2</f>
        <v>60.669414499871465</v>
      </c>
      <c r="C108">
        <f>C107*1.2</f>
        <v>10.429755877843295</v>
      </c>
      <c r="D108">
        <v>0</v>
      </c>
      <c r="E108">
        <v>11</v>
      </c>
      <c r="F108" t="s">
        <v>6</v>
      </c>
    </row>
    <row r="109" spans="1:6" x14ac:dyDescent="0.25">
      <c r="A109" s="1">
        <v>43435</v>
      </c>
      <c r="B109">
        <f>B108*2</f>
        <v>121.33882899974293</v>
      </c>
      <c r="C109">
        <f>C108*1.7</f>
        <v>17.730584992333601</v>
      </c>
      <c r="D109">
        <v>0</v>
      </c>
      <c r="E109">
        <v>12</v>
      </c>
      <c r="F109" t="s">
        <v>6</v>
      </c>
    </row>
    <row r="110" spans="1:6" x14ac:dyDescent="0.25">
      <c r="A110" s="1">
        <v>43466</v>
      </c>
      <c r="B110">
        <f>B109*0.31</f>
        <v>37.615036989920306</v>
      </c>
      <c r="C110">
        <f>C109*0.6</f>
        <v>10.63835099540016</v>
      </c>
      <c r="D110">
        <v>0</v>
      </c>
      <c r="E110">
        <v>1</v>
      </c>
      <c r="F110" t="s">
        <v>6</v>
      </c>
    </row>
    <row r="111" spans="1:6" x14ac:dyDescent="0.25">
      <c r="A111" s="1">
        <v>43497</v>
      </c>
      <c r="B111">
        <f>B110*0.8</f>
        <v>30.092029591936246</v>
      </c>
      <c r="C111">
        <f>C110*0.8</f>
        <v>8.5106807963201287</v>
      </c>
      <c r="D111">
        <v>0</v>
      </c>
      <c r="E111">
        <v>2</v>
      </c>
      <c r="F111" t="s">
        <v>7</v>
      </c>
    </row>
    <row r="112" spans="1:6" x14ac:dyDescent="0.25">
      <c r="A112" s="1">
        <v>43525</v>
      </c>
      <c r="B112">
        <f>B111*1.1</f>
        <v>33.101232551129876</v>
      </c>
      <c r="C112">
        <f>C111*1.13</f>
        <v>9.6170692998417451</v>
      </c>
      <c r="D112">
        <v>0</v>
      </c>
      <c r="E112">
        <v>3</v>
      </c>
      <c r="F112" t="s">
        <v>7</v>
      </c>
    </row>
    <row r="113" spans="1:6" x14ac:dyDescent="0.25">
      <c r="A113" s="1">
        <v>43556</v>
      </c>
      <c r="B113">
        <f>B112*0.9</f>
        <v>29.791109296016888</v>
      </c>
      <c r="C113">
        <f>C112*0.9</f>
        <v>8.6553623698575706</v>
      </c>
      <c r="D113">
        <v>0</v>
      </c>
      <c r="E113">
        <v>4</v>
      </c>
      <c r="F113" t="s">
        <v>7</v>
      </c>
    </row>
    <row r="114" spans="1:6" x14ac:dyDescent="0.25">
      <c r="A114" s="1">
        <v>43586</v>
      </c>
      <c r="B114">
        <f>B113*1.5</f>
        <v>44.686663944025334</v>
      </c>
      <c r="C114">
        <f>C113*1.05</f>
        <v>9.0881304883504495</v>
      </c>
      <c r="D114">
        <v>0</v>
      </c>
      <c r="E114">
        <v>5</v>
      </c>
      <c r="F114" t="s">
        <v>9</v>
      </c>
    </row>
    <row r="115" spans="1:6" x14ac:dyDescent="0.25">
      <c r="A115" s="1">
        <v>43617</v>
      </c>
      <c r="B115">
        <f>B114*1.2</f>
        <v>53.623996732830399</v>
      </c>
      <c r="C115">
        <f>C114*1.1</f>
        <v>9.996943537185496</v>
      </c>
      <c r="D115">
        <v>0</v>
      </c>
      <c r="E115">
        <v>6</v>
      </c>
      <c r="F115" t="s">
        <v>9</v>
      </c>
    </row>
    <row r="116" spans="1:6" x14ac:dyDescent="0.25">
      <c r="A116" s="1">
        <v>43647</v>
      </c>
      <c r="B116">
        <f>B115*0.8</f>
        <v>42.899197386264319</v>
      </c>
      <c r="C116">
        <f>C115*0.8</f>
        <v>7.9975548297483972</v>
      </c>
      <c r="D116">
        <v>0</v>
      </c>
      <c r="E116">
        <v>7</v>
      </c>
      <c r="F116" t="s">
        <v>9</v>
      </c>
    </row>
    <row r="117" spans="1:6" x14ac:dyDescent="0.25">
      <c r="A117" s="1">
        <v>43678</v>
      </c>
      <c r="B117">
        <f>B116*0.9</f>
        <v>38.609277647637889</v>
      </c>
      <c r="C117">
        <f>C116*0.9</f>
        <v>7.1977993467735573</v>
      </c>
      <c r="D117">
        <v>0</v>
      </c>
      <c r="E117">
        <v>8</v>
      </c>
      <c r="F117" t="s">
        <v>8</v>
      </c>
    </row>
    <row r="118" spans="1:6" x14ac:dyDescent="0.25">
      <c r="A118" s="1">
        <v>43709</v>
      </c>
      <c r="B118">
        <f>B117*1.1</f>
        <v>42.470205412401683</v>
      </c>
      <c r="C118">
        <f>C117*1.1</f>
        <v>7.9175792814509141</v>
      </c>
      <c r="D118">
        <v>0</v>
      </c>
      <c r="E118">
        <v>9</v>
      </c>
      <c r="F118" t="s">
        <v>8</v>
      </c>
    </row>
    <row r="119" spans="1:6" x14ac:dyDescent="0.25">
      <c r="A119" s="1">
        <v>43739</v>
      </c>
      <c r="B119">
        <f>B118*1.2</f>
        <v>50.964246494882019</v>
      </c>
      <c r="C119">
        <f>C118*1.15</f>
        <v>9.1052161736685502</v>
      </c>
      <c r="D119">
        <v>0</v>
      </c>
      <c r="E119">
        <v>10</v>
      </c>
      <c r="F119" t="s">
        <v>8</v>
      </c>
    </row>
    <row r="120" spans="1:6" x14ac:dyDescent="0.25">
      <c r="A120" s="1">
        <v>43770</v>
      </c>
      <c r="B120">
        <f>B119*1.2</f>
        <v>61.157095793858417</v>
      </c>
      <c r="C120">
        <f>C119*1.2</f>
        <v>10.92625940840226</v>
      </c>
      <c r="D120">
        <v>0</v>
      </c>
      <c r="E120">
        <v>11</v>
      </c>
      <c r="F120" t="s">
        <v>6</v>
      </c>
    </row>
    <row r="121" spans="1:6" x14ac:dyDescent="0.25">
      <c r="A121" s="1">
        <v>43800</v>
      </c>
      <c r="B121">
        <f>B120*2</f>
        <v>122.31419158771683</v>
      </c>
      <c r="C121">
        <f>C120*1.7</f>
        <v>18.57464099428384</v>
      </c>
      <c r="D121">
        <v>0</v>
      </c>
      <c r="E121">
        <v>12</v>
      </c>
      <c r="F121" t="s">
        <v>6</v>
      </c>
    </row>
    <row r="122" spans="1:6" x14ac:dyDescent="0.25">
      <c r="A122" s="1">
        <v>43831</v>
      </c>
      <c r="B122">
        <f>B121*0.31</f>
        <v>37.917399392192216</v>
      </c>
      <c r="C122">
        <v>10.63835099540016</v>
      </c>
      <c r="D122">
        <v>0</v>
      </c>
      <c r="E122">
        <v>1</v>
      </c>
      <c r="F122" t="s">
        <v>6</v>
      </c>
    </row>
    <row r="123" spans="1:6" x14ac:dyDescent="0.25">
      <c r="A123" s="1">
        <v>43862</v>
      </c>
      <c r="B123">
        <f>B122*0.8</f>
        <v>30.333919513753774</v>
      </c>
      <c r="C123">
        <v>8.5106807963201287</v>
      </c>
      <c r="D123">
        <v>0</v>
      </c>
      <c r="E123">
        <v>2</v>
      </c>
      <c r="F123" t="s">
        <v>7</v>
      </c>
    </row>
    <row r="124" spans="1:6" x14ac:dyDescent="0.25">
      <c r="A124" s="1">
        <v>43891</v>
      </c>
      <c r="B124">
        <f>B123*1.1</f>
        <v>33.367311465129156</v>
      </c>
      <c r="C124">
        <v>9.6170692998417451</v>
      </c>
      <c r="D124">
        <v>0</v>
      </c>
      <c r="E124">
        <v>3</v>
      </c>
      <c r="F124" t="s">
        <v>7</v>
      </c>
    </row>
    <row r="125" spans="1:6" x14ac:dyDescent="0.25">
      <c r="A125" s="1">
        <v>43922</v>
      </c>
      <c r="B125">
        <v>24</v>
      </c>
      <c r="C125">
        <v>3</v>
      </c>
      <c r="D125">
        <v>1</v>
      </c>
      <c r="E125">
        <v>4</v>
      </c>
      <c r="F125" t="s">
        <v>7</v>
      </c>
    </row>
    <row r="126" spans="1:6" x14ac:dyDescent="0.25">
      <c r="A126" s="1">
        <v>43952</v>
      </c>
      <c r="B126">
        <f>B125*1.5</f>
        <v>36</v>
      </c>
      <c r="C126">
        <f>C125*0.8</f>
        <v>2.4000000000000004</v>
      </c>
      <c r="D126">
        <v>1</v>
      </c>
      <c r="E126">
        <v>5</v>
      </c>
      <c r="F126" t="s">
        <v>9</v>
      </c>
    </row>
    <row r="127" spans="1:6" x14ac:dyDescent="0.25">
      <c r="A127" s="1">
        <v>43983</v>
      </c>
      <c r="B127">
        <f>B126*1.2</f>
        <v>43.199999999999996</v>
      </c>
      <c r="C127">
        <f>C126*1.13</f>
        <v>2.7120000000000002</v>
      </c>
      <c r="D127">
        <v>1</v>
      </c>
      <c r="E127">
        <v>6</v>
      </c>
      <c r="F127" t="s">
        <v>9</v>
      </c>
    </row>
    <row r="128" spans="1:6" x14ac:dyDescent="0.25">
      <c r="A128" s="1">
        <v>44013</v>
      </c>
      <c r="B128">
        <f>B127*0.8</f>
        <v>34.559999999999995</v>
      </c>
      <c r="C128">
        <f>C127*0.9</f>
        <v>2.4408000000000003</v>
      </c>
      <c r="D128">
        <v>1</v>
      </c>
      <c r="E128">
        <v>7</v>
      </c>
      <c r="F128" t="s">
        <v>9</v>
      </c>
    </row>
    <row r="129" spans="1:6" x14ac:dyDescent="0.25">
      <c r="A129" s="1">
        <v>44044</v>
      </c>
      <c r="B129">
        <f>B128*0.9</f>
        <v>31.103999999999996</v>
      </c>
      <c r="C129">
        <f>C128*1.05</f>
        <v>2.5628400000000005</v>
      </c>
      <c r="D129">
        <v>1</v>
      </c>
      <c r="E129">
        <v>8</v>
      </c>
      <c r="F129" t="s">
        <v>8</v>
      </c>
    </row>
    <row r="130" spans="1:6" x14ac:dyDescent="0.25">
      <c r="A130" s="1">
        <v>44075</v>
      </c>
      <c r="B130">
        <f>B129*1.1</f>
        <v>34.214399999999998</v>
      </c>
      <c r="C130">
        <f>C129*1.1</f>
        <v>2.8191240000000009</v>
      </c>
      <c r="D130">
        <v>1</v>
      </c>
      <c r="E130">
        <v>9</v>
      </c>
      <c r="F130" t="s">
        <v>8</v>
      </c>
    </row>
    <row r="131" spans="1:6" x14ac:dyDescent="0.25">
      <c r="A131" s="1">
        <v>44105</v>
      </c>
      <c r="B131">
        <f>B130*1.2</f>
        <v>41.057279999999999</v>
      </c>
      <c r="C131">
        <f>C130*0.8</f>
        <v>2.2552992000000009</v>
      </c>
      <c r="D131">
        <v>1</v>
      </c>
      <c r="E131">
        <v>10</v>
      </c>
      <c r="F131" t="s">
        <v>8</v>
      </c>
    </row>
    <row r="132" spans="1:6" x14ac:dyDescent="0.25">
      <c r="A132" s="1">
        <v>44136</v>
      </c>
      <c r="B132">
        <f>B131*1.2</f>
        <v>49.268735999999997</v>
      </c>
      <c r="C132">
        <f>C131*0.9</f>
        <v>2.0297692800000009</v>
      </c>
      <c r="D132">
        <v>1</v>
      </c>
      <c r="E132">
        <v>11</v>
      </c>
      <c r="F132" t="s">
        <v>6</v>
      </c>
    </row>
    <row r="133" spans="1:6" x14ac:dyDescent="0.25">
      <c r="A133" s="1">
        <v>44166</v>
      </c>
      <c r="B133">
        <f>B132*2</f>
        <v>98.537471999999994</v>
      </c>
      <c r="C133">
        <f>C132*1.1</f>
        <v>2.2327462080000013</v>
      </c>
      <c r="D133">
        <v>1</v>
      </c>
      <c r="E133">
        <v>12</v>
      </c>
      <c r="F133" t="s">
        <v>6</v>
      </c>
    </row>
    <row r="134" spans="1:6" x14ac:dyDescent="0.25">
      <c r="A134" s="1">
        <v>44197</v>
      </c>
      <c r="B134">
        <v>56.043187200000006</v>
      </c>
      <c r="C134">
        <f>C133*0.6</f>
        <v>1.3396477248000007</v>
      </c>
      <c r="D134">
        <v>1</v>
      </c>
      <c r="E134">
        <v>1</v>
      </c>
      <c r="F134" t="s">
        <v>6</v>
      </c>
    </row>
    <row r="135" spans="1:6" x14ac:dyDescent="0.25">
      <c r="A135" s="1">
        <v>44228</v>
      </c>
      <c r="B135">
        <f>B134*0.8</f>
        <v>44.834549760000009</v>
      </c>
      <c r="C135">
        <f>C134*0.8</f>
        <v>1.0717181798400006</v>
      </c>
      <c r="D135">
        <v>1</v>
      </c>
      <c r="E135">
        <v>2</v>
      </c>
      <c r="F135" t="s">
        <v>7</v>
      </c>
    </row>
    <row r="136" spans="1:6" x14ac:dyDescent="0.25">
      <c r="A136" s="1">
        <v>44256</v>
      </c>
      <c r="B136">
        <f>B135*1.1</f>
        <v>49.318004736000013</v>
      </c>
      <c r="C136">
        <f>C135*1.13</f>
        <v>1.2110415432192005</v>
      </c>
      <c r="D136">
        <v>1</v>
      </c>
      <c r="E136">
        <v>3</v>
      </c>
      <c r="F136" t="s">
        <v>7</v>
      </c>
    </row>
    <row r="137" spans="1:6" x14ac:dyDescent="0.25">
      <c r="A137" s="1">
        <v>44287</v>
      </c>
      <c r="B137">
        <f>B136*0.9</f>
        <v>44.386204262400014</v>
      </c>
      <c r="C137">
        <f>C136*0.9</f>
        <v>1.0899373888972805</v>
      </c>
      <c r="D137">
        <v>1</v>
      </c>
      <c r="E137">
        <v>4</v>
      </c>
      <c r="F137" t="s">
        <v>7</v>
      </c>
    </row>
    <row r="138" spans="1:6" x14ac:dyDescent="0.25">
      <c r="A138" s="1">
        <v>44317</v>
      </c>
      <c r="B138">
        <f>B137*1.5</f>
        <v>66.579306393600021</v>
      </c>
      <c r="C138">
        <f>C137*1.05</f>
        <v>1.1444342583421445</v>
      </c>
      <c r="D138">
        <v>1</v>
      </c>
      <c r="E138">
        <v>5</v>
      </c>
      <c r="F138" t="s">
        <v>9</v>
      </c>
    </row>
    <row r="139" spans="1:6" x14ac:dyDescent="0.25">
      <c r="A139" s="1">
        <v>44348</v>
      </c>
      <c r="B139">
        <f>B138*1.2</f>
        <v>79.895167672320028</v>
      </c>
      <c r="C139">
        <f>C138*1.1</f>
        <v>1.2588776841763591</v>
      </c>
      <c r="D139">
        <v>1</v>
      </c>
      <c r="E139">
        <v>6</v>
      </c>
      <c r="F139" t="s">
        <v>9</v>
      </c>
    </row>
    <row r="140" spans="1:6" x14ac:dyDescent="0.25">
      <c r="A140" s="1">
        <v>44378</v>
      </c>
      <c r="B140">
        <f>B139*0.8</f>
        <v>63.916134137856027</v>
      </c>
      <c r="C140">
        <f>C139*0.8</f>
        <v>1.0071021473410873</v>
      </c>
      <c r="D140">
        <v>1</v>
      </c>
      <c r="E140">
        <v>7</v>
      </c>
      <c r="F140" t="s">
        <v>9</v>
      </c>
    </row>
    <row r="141" spans="1:6" x14ac:dyDescent="0.25">
      <c r="A141" s="1">
        <v>44409</v>
      </c>
      <c r="B141">
        <f>B140*0.9</f>
        <v>57.524520724070427</v>
      </c>
      <c r="C141">
        <f>C140*0.9</f>
        <v>0.90639193260697859</v>
      </c>
      <c r="D141">
        <v>1</v>
      </c>
      <c r="E141">
        <v>8</v>
      </c>
      <c r="F141" t="s">
        <v>8</v>
      </c>
    </row>
    <row r="142" spans="1:6" x14ac:dyDescent="0.25">
      <c r="A142" s="1">
        <v>44440</v>
      </c>
      <c r="B142">
        <f>B141*1.1</f>
        <v>63.276972796477473</v>
      </c>
      <c r="C142">
        <f>C141*1.1</f>
        <v>0.9970311258676765</v>
      </c>
      <c r="D142">
        <v>1</v>
      </c>
      <c r="E142">
        <v>9</v>
      </c>
      <c r="F142" t="s">
        <v>8</v>
      </c>
    </row>
    <row r="143" spans="1:6" x14ac:dyDescent="0.25">
      <c r="A143" s="1">
        <v>44470</v>
      </c>
      <c r="B143">
        <f>B142*1.2</f>
        <v>75.932367355772968</v>
      </c>
      <c r="C143">
        <f>C142*1.15</f>
        <v>1.146585794747828</v>
      </c>
      <c r="D143">
        <v>1</v>
      </c>
      <c r="E143">
        <v>10</v>
      </c>
      <c r="F143" t="s">
        <v>8</v>
      </c>
    </row>
    <row r="144" spans="1:6" x14ac:dyDescent="0.25">
      <c r="A144" s="1">
        <v>44501</v>
      </c>
      <c r="B144">
        <f>B143*1.2</f>
        <v>91.118840826927553</v>
      </c>
      <c r="C144">
        <v>9</v>
      </c>
      <c r="D144">
        <v>0</v>
      </c>
      <c r="E144">
        <v>11</v>
      </c>
      <c r="F144" t="s">
        <v>6</v>
      </c>
    </row>
    <row r="145" spans="1:6" x14ac:dyDescent="0.25">
      <c r="A145" s="1">
        <v>44531</v>
      </c>
      <c r="B145">
        <f>B144*2</f>
        <v>182.23768165385511</v>
      </c>
      <c r="C145">
        <f>C144*1.7</f>
        <v>15.299999999999999</v>
      </c>
      <c r="D145">
        <v>0</v>
      </c>
      <c r="E145">
        <v>12</v>
      </c>
      <c r="F145" t="s">
        <v>6</v>
      </c>
    </row>
    <row r="146" spans="1:6" x14ac:dyDescent="0.25">
      <c r="A146" s="1">
        <v>44562</v>
      </c>
      <c r="B146">
        <f>B145*0.31</f>
        <v>56.493681312695081</v>
      </c>
      <c r="C146">
        <f>C145*0.6</f>
        <v>9.18</v>
      </c>
      <c r="D146">
        <v>0</v>
      </c>
      <c r="E146">
        <v>1</v>
      </c>
      <c r="F146" t="s">
        <v>6</v>
      </c>
    </row>
    <row r="147" spans="1:6" x14ac:dyDescent="0.25">
      <c r="A147" s="1">
        <v>44593</v>
      </c>
      <c r="B147">
        <f>B146*0.8</f>
        <v>45.194945050156065</v>
      </c>
      <c r="C147">
        <f>C146*0.8</f>
        <v>7.3440000000000003</v>
      </c>
      <c r="D147">
        <v>0</v>
      </c>
      <c r="E147">
        <v>2</v>
      </c>
      <c r="F147" t="s">
        <v>7</v>
      </c>
    </row>
    <row r="148" spans="1:6" x14ac:dyDescent="0.25">
      <c r="A148" s="1">
        <v>44621</v>
      </c>
      <c r="B148">
        <f>B147*1.1</f>
        <v>49.714439555171673</v>
      </c>
      <c r="C148">
        <f>C147*1.13</f>
        <v>8.2987199999999994</v>
      </c>
      <c r="D148">
        <v>0</v>
      </c>
      <c r="E148">
        <v>3</v>
      </c>
      <c r="F148" t="s">
        <v>7</v>
      </c>
    </row>
    <row r="149" spans="1:6" x14ac:dyDescent="0.25">
      <c r="A149" s="1">
        <v>44652</v>
      </c>
      <c r="B149">
        <f>B148*0.9</f>
        <v>44.742995599654506</v>
      </c>
      <c r="C149">
        <f>C148*0.9</f>
        <v>7.4688479999999995</v>
      </c>
      <c r="D149">
        <v>0</v>
      </c>
      <c r="E149">
        <v>4</v>
      </c>
      <c r="F149" t="s">
        <v>7</v>
      </c>
    </row>
    <row r="150" spans="1:6" x14ac:dyDescent="0.25">
      <c r="A150" s="1">
        <v>44682</v>
      </c>
      <c r="B150">
        <f>B149*1.5</f>
        <v>67.114493399481759</v>
      </c>
      <c r="C150">
        <f>C149*1.05</f>
        <v>7.8422903999999996</v>
      </c>
      <c r="D150">
        <v>0</v>
      </c>
      <c r="E150">
        <v>5</v>
      </c>
      <c r="F150" t="s">
        <v>9</v>
      </c>
    </row>
    <row r="151" spans="1:6" x14ac:dyDescent="0.25">
      <c r="A151" s="1">
        <v>44713</v>
      </c>
      <c r="B151">
        <f>B150*1.2</f>
        <v>80.537392079378108</v>
      </c>
      <c r="C151">
        <f>C150*1.1</f>
        <v>8.6265194400000009</v>
      </c>
      <c r="D151">
        <v>0</v>
      </c>
      <c r="E151">
        <v>6</v>
      </c>
      <c r="F151" t="s">
        <v>9</v>
      </c>
    </row>
    <row r="152" spans="1:6" x14ac:dyDescent="0.25">
      <c r="A152" s="1">
        <v>44743</v>
      </c>
      <c r="B152">
        <f>B151*0.8</f>
        <v>64.429913663502489</v>
      </c>
      <c r="C152">
        <f>C151*0.8</f>
        <v>6.9012155520000009</v>
      </c>
      <c r="D152">
        <v>0</v>
      </c>
      <c r="E152">
        <v>7</v>
      </c>
      <c r="F152" t="s">
        <v>9</v>
      </c>
    </row>
    <row r="153" spans="1:6" x14ac:dyDescent="0.25">
      <c r="A153" s="1">
        <v>44774</v>
      </c>
      <c r="B153">
        <f>B152*0.9</f>
        <v>57.98692229715224</v>
      </c>
      <c r="C153">
        <f>C152*0.9</f>
        <v>6.2110939968000007</v>
      </c>
      <c r="D153">
        <v>0</v>
      </c>
      <c r="E153">
        <v>8</v>
      </c>
      <c r="F153" t="s">
        <v>8</v>
      </c>
    </row>
    <row r="154" spans="1:6" x14ac:dyDescent="0.25">
      <c r="A154" s="1">
        <v>44805</v>
      </c>
      <c r="B154">
        <f>B153*1.1</f>
        <v>63.785614526867469</v>
      </c>
      <c r="C154">
        <f>C153*1.1</f>
        <v>6.8322033964800015</v>
      </c>
      <c r="D154">
        <v>0</v>
      </c>
      <c r="E154">
        <v>9</v>
      </c>
      <c r="F154" t="s">
        <v>8</v>
      </c>
    </row>
    <row r="155" spans="1:6" x14ac:dyDescent="0.25">
      <c r="A155" s="1">
        <v>44835</v>
      </c>
      <c r="B155">
        <f>B154*1.2</f>
        <v>76.542737432240955</v>
      </c>
      <c r="C155">
        <f>C154*1.15</f>
        <v>7.8570339059520009</v>
      </c>
      <c r="D155">
        <v>0</v>
      </c>
      <c r="E155">
        <v>10</v>
      </c>
      <c r="F155" t="s">
        <v>8</v>
      </c>
    </row>
    <row r="156" spans="1:6" x14ac:dyDescent="0.25">
      <c r="A156" s="1">
        <v>44866</v>
      </c>
      <c r="B156">
        <f>B155*1.2</f>
        <v>91.851284918689146</v>
      </c>
      <c r="C156">
        <f>C155*1.2</f>
        <v>9.4284406871424</v>
      </c>
      <c r="D156">
        <v>0</v>
      </c>
      <c r="E156">
        <v>11</v>
      </c>
      <c r="F156" t="s">
        <v>6</v>
      </c>
    </row>
    <row r="157" spans="1:6" x14ac:dyDescent="0.25">
      <c r="A157" s="1">
        <v>44896</v>
      </c>
      <c r="B157">
        <f>B156*2</f>
        <v>183.70256983737829</v>
      </c>
      <c r="C157">
        <f>C156*1.7</f>
        <v>16.028349168142078</v>
      </c>
      <c r="D157">
        <v>0</v>
      </c>
      <c r="E157">
        <v>12</v>
      </c>
      <c r="F157" t="s">
        <v>6</v>
      </c>
    </row>
    <row r="158" spans="1:6" x14ac:dyDescent="0.25">
      <c r="A158" s="1">
        <v>44927</v>
      </c>
      <c r="B158">
        <f>B157*0.31</f>
        <v>56.947796649587268</v>
      </c>
      <c r="C158">
        <f>C157*0.6</f>
        <v>9.6170095008852474</v>
      </c>
      <c r="D158">
        <v>0</v>
      </c>
      <c r="E158">
        <v>1</v>
      </c>
      <c r="F158" t="s">
        <v>6</v>
      </c>
    </row>
    <row r="159" spans="1:6" x14ac:dyDescent="0.25">
      <c r="A159" s="1">
        <v>44958</v>
      </c>
      <c r="B159">
        <f>B158*0.8</f>
        <v>45.558237319669814</v>
      </c>
      <c r="C159">
        <f>C158*0.8</f>
        <v>7.6936076007081979</v>
      </c>
      <c r="D159">
        <v>0</v>
      </c>
      <c r="E159">
        <v>2</v>
      </c>
      <c r="F159" t="s">
        <v>7</v>
      </c>
    </row>
    <row r="160" spans="1:6" x14ac:dyDescent="0.25">
      <c r="A160" s="1">
        <v>44986</v>
      </c>
      <c r="B160">
        <f>B159*1.1</f>
        <v>50.114061051636803</v>
      </c>
      <c r="C160">
        <f>C159*1.13</f>
        <v>8.6937765888002634</v>
      </c>
      <c r="D160">
        <v>0</v>
      </c>
      <c r="E160">
        <v>3</v>
      </c>
      <c r="F160" t="s">
        <v>7</v>
      </c>
    </row>
    <row r="161" spans="1:6" x14ac:dyDescent="0.25">
      <c r="A161" s="1">
        <v>45017</v>
      </c>
      <c r="B161">
        <f>B160*0.9</f>
        <v>45.102654946473123</v>
      </c>
      <c r="C161">
        <f>C160*0.9</f>
        <v>7.8243989299202372</v>
      </c>
      <c r="D161">
        <v>0</v>
      </c>
      <c r="E161">
        <v>4</v>
      </c>
      <c r="F161" t="s">
        <v>7</v>
      </c>
    </row>
    <row r="162" spans="1:6" x14ac:dyDescent="0.25">
      <c r="A162" s="1">
        <v>45047</v>
      </c>
      <c r="B162">
        <f>B161*1.5</f>
        <v>67.653982419709678</v>
      </c>
      <c r="C162">
        <f>C161*1.05</f>
        <v>8.215618876416249</v>
      </c>
      <c r="D162">
        <v>0</v>
      </c>
      <c r="E162">
        <v>5</v>
      </c>
      <c r="F162" t="s">
        <v>9</v>
      </c>
    </row>
    <row r="163" spans="1:6" x14ac:dyDescent="0.25">
      <c r="A163" s="1">
        <v>45078</v>
      </c>
      <c r="B163">
        <f>B162*1.2</f>
        <v>81.184778903651605</v>
      </c>
      <c r="C163">
        <f>C162*1.1</f>
        <v>9.0371807640578741</v>
      </c>
      <c r="D163">
        <v>0</v>
      </c>
      <c r="E163">
        <v>6</v>
      </c>
      <c r="F163" t="s">
        <v>9</v>
      </c>
    </row>
    <row r="164" spans="1:6" x14ac:dyDescent="0.25">
      <c r="A164" s="1">
        <v>45108</v>
      </c>
      <c r="B164">
        <f>B163*0.8</f>
        <v>64.947823122921292</v>
      </c>
      <c r="C164">
        <f>C163*0.8</f>
        <v>7.2297446112463</v>
      </c>
      <c r="D164">
        <v>0</v>
      </c>
      <c r="E164">
        <v>7</v>
      </c>
      <c r="F164" t="s">
        <v>9</v>
      </c>
    </row>
    <row r="165" spans="1:6" x14ac:dyDescent="0.25">
      <c r="A165" s="1">
        <v>45139</v>
      </c>
      <c r="B165">
        <f>B164*0.9</f>
        <v>58.453040810629162</v>
      </c>
      <c r="C165">
        <f>C164*0.9</f>
        <v>6.5067701501216701</v>
      </c>
      <c r="D165">
        <v>0</v>
      </c>
      <c r="E165">
        <v>8</v>
      </c>
      <c r="F165" t="s">
        <v>8</v>
      </c>
    </row>
    <row r="166" spans="1:6" x14ac:dyDescent="0.25">
      <c r="A166" s="1">
        <v>45170</v>
      </c>
      <c r="B166">
        <f>B165*1.1</f>
        <v>64.298344891692082</v>
      </c>
      <c r="C166">
        <f>C165*1.1</f>
        <v>7.1574471651338376</v>
      </c>
      <c r="D166">
        <v>0</v>
      </c>
      <c r="E166">
        <v>9</v>
      </c>
      <c r="F166" t="s">
        <v>8</v>
      </c>
    </row>
    <row r="167" spans="1:6" x14ac:dyDescent="0.25">
      <c r="A167" s="1">
        <v>45200</v>
      </c>
      <c r="B167">
        <f>B166*1.2</f>
        <v>77.158013870030501</v>
      </c>
      <c r="C167">
        <f>C166*1.15</f>
        <v>8.2310642399039118</v>
      </c>
      <c r="D167">
        <v>0</v>
      </c>
      <c r="E167">
        <v>10</v>
      </c>
      <c r="F167" t="s">
        <v>8</v>
      </c>
    </row>
    <row r="168" spans="1:6" x14ac:dyDescent="0.25">
      <c r="A168" s="1">
        <v>45231</v>
      </c>
      <c r="B168">
        <f>B167*1.2</f>
        <v>92.589616644036596</v>
      </c>
      <c r="C168">
        <f>C167*1.2</f>
        <v>9.8772770878846945</v>
      </c>
      <c r="D168">
        <v>0</v>
      </c>
      <c r="E168">
        <v>11</v>
      </c>
      <c r="F168" t="s">
        <v>6</v>
      </c>
    </row>
    <row r="169" spans="1:6" x14ac:dyDescent="0.25">
      <c r="A169" s="1">
        <v>45261</v>
      </c>
      <c r="B169">
        <f>B168*2</f>
        <v>185.17923328807319</v>
      </c>
      <c r="C169">
        <f>C168*1.7</f>
        <v>16.791371049403981</v>
      </c>
      <c r="D169">
        <v>0</v>
      </c>
      <c r="E169">
        <v>12</v>
      </c>
      <c r="F169" t="s">
        <v>6</v>
      </c>
    </row>
    <row r="170" spans="1:6" x14ac:dyDescent="0.25">
      <c r="A170" s="1">
        <v>45292</v>
      </c>
      <c r="B170">
        <f>B169*0.31</f>
        <v>57.405562319302689</v>
      </c>
      <c r="C170">
        <f>C169*0.6</f>
        <v>10.074822629642389</v>
      </c>
      <c r="D170">
        <v>0</v>
      </c>
      <c r="E170">
        <v>1</v>
      </c>
      <c r="F170" t="s">
        <v>6</v>
      </c>
    </row>
    <row r="171" spans="1:6" x14ac:dyDescent="0.25">
      <c r="A171" s="1">
        <v>45323</v>
      </c>
      <c r="B171">
        <f>B170*0.8</f>
        <v>45.924449855442155</v>
      </c>
      <c r="C171">
        <f>C170*0.8</f>
        <v>8.0598581037139123</v>
      </c>
      <c r="D171">
        <v>0</v>
      </c>
      <c r="E171">
        <v>2</v>
      </c>
      <c r="F171" t="s">
        <v>7</v>
      </c>
    </row>
    <row r="172" spans="1:6" x14ac:dyDescent="0.25">
      <c r="A172" s="1">
        <v>45352</v>
      </c>
      <c r="B172">
        <f>B171*1.1</f>
        <v>50.516894840986375</v>
      </c>
      <c r="C172">
        <f>C171*1.13</f>
        <v>9.1076396571967209</v>
      </c>
      <c r="D172">
        <v>0</v>
      </c>
      <c r="E172">
        <v>3</v>
      </c>
      <c r="F172" t="s">
        <v>7</v>
      </c>
    </row>
    <row r="173" spans="1:6" x14ac:dyDescent="0.25">
      <c r="A173" s="1">
        <v>45383</v>
      </c>
      <c r="B173">
        <f>B172*0.9</f>
        <v>45.465205356887736</v>
      </c>
      <c r="C173">
        <f>C172*0.9</f>
        <v>8.1968756914770484</v>
      </c>
      <c r="D173">
        <v>0</v>
      </c>
      <c r="E173">
        <v>4</v>
      </c>
      <c r="F173" t="s">
        <v>7</v>
      </c>
    </row>
    <row r="174" spans="1:6" x14ac:dyDescent="0.25">
      <c r="A174" s="1">
        <v>45413</v>
      </c>
      <c r="B174">
        <f>B173*1.5</f>
        <v>68.197808035331605</v>
      </c>
      <c r="C174">
        <f>C173*1.05</f>
        <v>8.6067194760509018</v>
      </c>
      <c r="D174">
        <v>0</v>
      </c>
      <c r="E174">
        <v>5</v>
      </c>
      <c r="F174" t="s">
        <v>9</v>
      </c>
    </row>
    <row r="175" spans="1:6" x14ac:dyDescent="0.25">
      <c r="A175" s="1">
        <v>45444</v>
      </c>
      <c r="B175">
        <f>B174*1.2</f>
        <v>81.837369642397917</v>
      </c>
      <c r="C175">
        <f>C174*1.1</f>
        <v>9.4673914236559931</v>
      </c>
      <c r="D175">
        <v>0</v>
      </c>
      <c r="E175">
        <v>6</v>
      </c>
      <c r="F175" t="s">
        <v>9</v>
      </c>
    </row>
    <row r="176" spans="1:6" x14ac:dyDescent="0.25">
      <c r="A176" s="1">
        <v>45474</v>
      </c>
      <c r="B176">
        <f>B175*0.8</f>
        <v>65.469895713918334</v>
      </c>
      <c r="C176">
        <f>C175*0.8</f>
        <v>7.5739131389247945</v>
      </c>
      <c r="D176">
        <v>0</v>
      </c>
      <c r="E176">
        <v>7</v>
      </c>
      <c r="F176" t="s">
        <v>9</v>
      </c>
    </row>
    <row r="177" spans="1:6" x14ac:dyDescent="0.25">
      <c r="A177" s="1">
        <v>45505</v>
      </c>
      <c r="B177">
        <f>B176*0.9</f>
        <v>58.9229061425265</v>
      </c>
      <c r="C177">
        <f>C176*0.9</f>
        <v>6.8165218250323152</v>
      </c>
      <c r="D177">
        <v>0</v>
      </c>
      <c r="E177">
        <v>8</v>
      </c>
      <c r="F177" t="s">
        <v>8</v>
      </c>
    </row>
    <row r="178" spans="1:6" x14ac:dyDescent="0.25">
      <c r="A178" s="1">
        <v>45536</v>
      </c>
      <c r="B178">
        <f>B177*1.1</f>
        <v>64.815196756779159</v>
      </c>
      <c r="C178">
        <f>C177*1.1</f>
        <v>7.498174007535547</v>
      </c>
      <c r="D178">
        <v>0</v>
      </c>
      <c r="E178">
        <v>9</v>
      </c>
      <c r="F178" t="s">
        <v>8</v>
      </c>
    </row>
    <row r="179" spans="1:6" x14ac:dyDescent="0.25">
      <c r="A179" s="1">
        <v>45566</v>
      </c>
      <c r="B179">
        <f>B178*1.2</f>
        <v>77.77823610813499</v>
      </c>
      <c r="C179">
        <f>C178*1.15</f>
        <v>8.6229001086658776</v>
      </c>
      <c r="D179">
        <v>0</v>
      </c>
      <c r="E179">
        <v>10</v>
      </c>
      <c r="F179" t="s">
        <v>8</v>
      </c>
    </row>
    <row r="180" spans="1:6" x14ac:dyDescent="0.25">
      <c r="A180" s="1">
        <v>45597</v>
      </c>
      <c r="B180">
        <f>B179*1.2</f>
        <v>93.333883329761989</v>
      </c>
      <c r="C180">
        <f>C179*1.2</f>
        <v>10.347480130399052</v>
      </c>
      <c r="D180">
        <v>0</v>
      </c>
      <c r="E180">
        <v>11</v>
      </c>
      <c r="F180" t="s">
        <v>6</v>
      </c>
    </row>
    <row r="181" spans="1:6" x14ac:dyDescent="0.25">
      <c r="A181" s="1">
        <v>45627</v>
      </c>
      <c r="B181">
        <f>B180*2</f>
        <v>186.66776665952398</v>
      </c>
      <c r="C181">
        <f>C180*1.7</f>
        <v>17.590716221678388</v>
      </c>
      <c r="D181">
        <v>0</v>
      </c>
      <c r="E181">
        <v>12</v>
      </c>
      <c r="F181" t="s">
        <v>6</v>
      </c>
    </row>
    <row r="182" spans="1:6" x14ac:dyDescent="0.25">
      <c r="A182" s="1">
        <v>45658</v>
      </c>
      <c r="B182">
        <f>B181*0.31</f>
        <v>57.86700766445243</v>
      </c>
      <c r="C182">
        <f>C181*0.6</f>
        <v>10.554429733007032</v>
      </c>
      <c r="D182">
        <v>0</v>
      </c>
      <c r="E182">
        <v>1</v>
      </c>
      <c r="F182" t="s">
        <v>6</v>
      </c>
    </row>
    <row r="183" spans="1:6" x14ac:dyDescent="0.25">
      <c r="A183" s="1">
        <v>45689</v>
      </c>
      <c r="B183">
        <f>B182*0.8</f>
        <v>46.293606131561944</v>
      </c>
      <c r="C183">
        <f>C182*0.8</f>
        <v>8.4435437864056251</v>
      </c>
      <c r="D183">
        <v>0</v>
      </c>
      <c r="E183">
        <v>2</v>
      </c>
      <c r="F183" t="s">
        <v>7</v>
      </c>
    </row>
    <row r="184" spans="1:6" x14ac:dyDescent="0.25">
      <c r="A184" s="1">
        <v>45717</v>
      </c>
      <c r="B184">
        <f>B183*1.1</f>
        <v>50.922966744718146</v>
      </c>
      <c r="C184">
        <f>C183*1.13</f>
        <v>9.5412044786383561</v>
      </c>
      <c r="D184">
        <v>0</v>
      </c>
      <c r="E184">
        <v>3</v>
      </c>
      <c r="F184" t="s">
        <v>7</v>
      </c>
    </row>
    <row r="185" spans="1:6" x14ac:dyDescent="0.25">
      <c r="A185" s="1">
        <v>45748</v>
      </c>
      <c r="B185">
        <f>B184*0.9</f>
        <v>45.830670070246335</v>
      </c>
      <c r="C185">
        <f>C184*0.9</f>
        <v>8.5870840307745215</v>
      </c>
      <c r="D185">
        <v>0</v>
      </c>
      <c r="E185">
        <v>4</v>
      </c>
      <c r="F185" t="s">
        <v>7</v>
      </c>
    </row>
    <row r="186" spans="1:6" x14ac:dyDescent="0.25">
      <c r="A186" s="1">
        <v>45778</v>
      </c>
      <c r="B186">
        <f>B185*1.5</f>
        <v>68.746005105369505</v>
      </c>
      <c r="C186">
        <f>C185*1.05</f>
        <v>9.0164382323132486</v>
      </c>
      <c r="D186">
        <v>0</v>
      </c>
      <c r="E186">
        <v>5</v>
      </c>
      <c r="F186" t="s">
        <v>9</v>
      </c>
    </row>
    <row r="187" spans="1:6" x14ac:dyDescent="0.25">
      <c r="A187" s="1">
        <v>45809</v>
      </c>
      <c r="B187">
        <f>B186*1.2</f>
        <v>82.495206126443406</v>
      </c>
      <c r="C187">
        <f>C186*1.1</f>
        <v>9.9180820555445734</v>
      </c>
      <c r="D187">
        <v>0</v>
      </c>
      <c r="E187">
        <v>6</v>
      </c>
      <c r="F187" t="s">
        <v>9</v>
      </c>
    </row>
    <row r="188" spans="1:6" x14ac:dyDescent="0.25">
      <c r="A188" s="1">
        <v>45839</v>
      </c>
      <c r="B188">
        <f>B187*0.8</f>
        <v>65.996164901154728</v>
      </c>
      <c r="C188">
        <f>C187*0.8</f>
        <v>7.9344656444356589</v>
      </c>
      <c r="D188">
        <v>0</v>
      </c>
      <c r="E188">
        <v>7</v>
      </c>
      <c r="F188" t="s">
        <v>9</v>
      </c>
    </row>
    <row r="189" spans="1:6" x14ac:dyDescent="0.25">
      <c r="A189" s="1">
        <v>45870</v>
      </c>
      <c r="B189">
        <f>B188*0.9</f>
        <v>59.396548411039255</v>
      </c>
      <c r="C189">
        <f>C188*0.9</f>
        <v>7.141019079992093</v>
      </c>
      <c r="D189">
        <v>0</v>
      </c>
      <c r="E189">
        <v>8</v>
      </c>
      <c r="F189" t="s">
        <v>8</v>
      </c>
    </row>
    <row r="190" spans="1:6" x14ac:dyDescent="0.25">
      <c r="A190" s="1">
        <v>45901</v>
      </c>
      <c r="B190">
        <f>B189*1.1</f>
        <v>65.336203252143193</v>
      </c>
      <c r="C190">
        <f>C189*1.1</f>
        <v>7.8551209879913033</v>
      </c>
      <c r="D190">
        <v>0</v>
      </c>
      <c r="E190">
        <v>9</v>
      </c>
      <c r="F190" t="s">
        <v>8</v>
      </c>
    </row>
    <row r="191" spans="1:6" x14ac:dyDescent="0.25">
      <c r="A191" s="1">
        <v>45931</v>
      </c>
      <c r="B191">
        <f>B190*1.2</f>
        <v>78.403443902571823</v>
      </c>
      <c r="C191">
        <f>C190*1.15</f>
        <v>9.0333891361899976</v>
      </c>
      <c r="D191">
        <v>0</v>
      </c>
      <c r="E191">
        <v>10</v>
      </c>
      <c r="F191" t="s">
        <v>8</v>
      </c>
    </row>
    <row r="192" spans="1:6" x14ac:dyDescent="0.25">
      <c r="A192" s="1">
        <v>45962</v>
      </c>
      <c r="B192">
        <f>B191*1.2</f>
        <v>94.084132683086182</v>
      </c>
      <c r="C192">
        <f>C191*1.2</f>
        <v>10.840066963427997</v>
      </c>
      <c r="D192">
        <v>0</v>
      </c>
      <c r="E192">
        <v>11</v>
      </c>
      <c r="F192" t="s">
        <v>6</v>
      </c>
    </row>
    <row r="193" spans="1:6" x14ac:dyDescent="0.25">
      <c r="A193" s="1">
        <v>45992</v>
      </c>
      <c r="B193">
        <f>B192*2</f>
        <v>188.16826536617236</v>
      </c>
      <c r="C193">
        <f>C192*1.7</f>
        <v>18.428113837827595</v>
      </c>
      <c r="D193">
        <v>0</v>
      </c>
      <c r="E193">
        <v>12</v>
      </c>
      <c r="F193" t="s">
        <v>6</v>
      </c>
    </row>
    <row r="194" spans="1:6" x14ac:dyDescent="0.25">
      <c r="A194" s="1">
        <v>46023</v>
      </c>
      <c r="B194">
        <f>B193*0.31</f>
        <v>58.332162263513432</v>
      </c>
      <c r="C194">
        <f>C193*0.6</f>
        <v>11.056868302696557</v>
      </c>
      <c r="D194">
        <v>0</v>
      </c>
      <c r="E194">
        <v>1</v>
      </c>
      <c r="F194" t="s">
        <v>6</v>
      </c>
    </row>
    <row r="195" spans="1:6" x14ac:dyDescent="0.25">
      <c r="A195" s="1">
        <v>46054</v>
      </c>
      <c r="B195">
        <f>B194*0.8</f>
        <v>46.665729810810745</v>
      </c>
      <c r="C195">
        <f>C194*0.8</f>
        <v>8.8454946421572469</v>
      </c>
      <c r="D195">
        <v>0</v>
      </c>
      <c r="E195">
        <v>2</v>
      </c>
      <c r="F195" t="s">
        <v>7</v>
      </c>
    </row>
    <row r="196" spans="1:6" x14ac:dyDescent="0.25">
      <c r="A196" s="1">
        <v>46082</v>
      </c>
      <c r="B196">
        <f>B195*1.1</f>
        <v>51.332302791891827</v>
      </c>
      <c r="C196">
        <f>C195*1.13</f>
        <v>9.9954089456376884</v>
      </c>
      <c r="D196">
        <v>0</v>
      </c>
      <c r="E196">
        <v>3</v>
      </c>
      <c r="F196" t="s">
        <v>7</v>
      </c>
    </row>
    <row r="197" spans="1:6" x14ac:dyDescent="0.25">
      <c r="A197" s="1">
        <v>46113</v>
      </c>
      <c r="B197">
        <f>B196*0.9</f>
        <v>46.199072512702642</v>
      </c>
      <c r="C197">
        <f>C196*0.9</f>
        <v>8.99586805107392</v>
      </c>
      <c r="D197">
        <v>0</v>
      </c>
      <c r="E197">
        <v>4</v>
      </c>
      <c r="F197" t="s">
        <v>7</v>
      </c>
    </row>
    <row r="198" spans="1:6" x14ac:dyDescent="0.25">
      <c r="A198" s="1">
        <v>46143</v>
      </c>
      <c r="B198">
        <f>B197*1.5</f>
        <v>69.29860876905397</v>
      </c>
      <c r="C198">
        <f>C197*1.05</f>
        <v>9.4456614536276167</v>
      </c>
      <c r="D198">
        <v>0</v>
      </c>
      <c r="E198">
        <v>5</v>
      </c>
      <c r="F198" t="s">
        <v>9</v>
      </c>
    </row>
    <row r="199" spans="1:6" x14ac:dyDescent="0.25">
      <c r="A199" s="1">
        <v>46174</v>
      </c>
      <c r="B199">
        <f>B198*1.2</f>
        <v>83.158330522864759</v>
      </c>
      <c r="C199">
        <f>C198*1.1</f>
        <v>10.390227598990379</v>
      </c>
      <c r="D199">
        <v>0</v>
      </c>
      <c r="E199">
        <v>6</v>
      </c>
      <c r="F199" t="s">
        <v>9</v>
      </c>
    </row>
    <row r="200" spans="1:6" x14ac:dyDescent="0.25">
      <c r="A200" s="1">
        <v>46204</v>
      </c>
      <c r="B200">
        <f>B199*0.8</f>
        <v>66.526664418291816</v>
      </c>
      <c r="C200">
        <f>C199*0.8</f>
        <v>8.3121820791923025</v>
      </c>
      <c r="D200">
        <v>0</v>
      </c>
      <c r="E200">
        <v>7</v>
      </c>
      <c r="F200" t="s">
        <v>9</v>
      </c>
    </row>
    <row r="201" spans="1:6" x14ac:dyDescent="0.25">
      <c r="A201" s="1">
        <v>46235</v>
      </c>
      <c r="B201">
        <f>B200*0.9</f>
        <v>59.873997976462633</v>
      </c>
      <c r="C201">
        <f>C200*0.9</f>
        <v>7.4809638712730724</v>
      </c>
      <c r="D201">
        <v>0</v>
      </c>
      <c r="E201">
        <v>8</v>
      </c>
      <c r="F201" t="s">
        <v>8</v>
      </c>
    </row>
    <row r="202" spans="1:6" x14ac:dyDescent="0.25">
      <c r="A202" s="1">
        <v>46266</v>
      </c>
      <c r="B202">
        <f>B201*1.1</f>
        <v>65.861397774108895</v>
      </c>
      <c r="C202">
        <f>C201*1.1</f>
        <v>8.2290602584003807</v>
      </c>
      <c r="D202">
        <v>0</v>
      </c>
      <c r="E202">
        <v>9</v>
      </c>
      <c r="F202" t="s">
        <v>8</v>
      </c>
    </row>
    <row r="203" spans="1:6" x14ac:dyDescent="0.25">
      <c r="A203" s="1">
        <v>46296</v>
      </c>
      <c r="B203">
        <f>B202*1.2</f>
        <v>79.033677328930665</v>
      </c>
      <c r="C203">
        <f>C202*1.15</f>
        <v>9.4634192971604367</v>
      </c>
      <c r="D203">
        <v>0</v>
      </c>
      <c r="E203">
        <v>10</v>
      </c>
      <c r="F203" t="s">
        <v>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 Spirit</dc:creator>
  <cp:lastModifiedBy>Game Spirit</cp:lastModifiedBy>
  <dcterms:created xsi:type="dcterms:W3CDTF">2026-10-14T21:24:23Z</dcterms:created>
  <dcterms:modified xsi:type="dcterms:W3CDTF">2026-10-20T01:21:00Z</dcterms:modified>
</cp:coreProperties>
</file>